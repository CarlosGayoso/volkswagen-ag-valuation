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6f09ba6d1fd3b65/Desktop/Finance_Freelancing/App_VW/"/>
    </mc:Choice>
  </mc:AlternateContent>
  <xr:revisionPtr revIDLastSave="1195" documentId="8_{D857C8BC-7B34-433B-A117-0C26A7027832}" xr6:coauthVersionLast="47" xr6:coauthVersionMax="47" xr10:uidLastSave="{0E5DE31D-3C9D-4F56-845D-4268B83E7CEE}"/>
  <bookViews>
    <workbookView xWindow="-108" yWindow="-108" windowWidth="23256" windowHeight="12456" firstSheet="2" activeTab="2" xr2:uid="{00000000-000D-0000-FFFF-FFFF00000000}"/>
  </bookViews>
  <sheets>
    <sheet name="Inputs &amp; References" sheetId="7" r:id="rId1"/>
    <sheet name="SOTP Valuation" sheetId="6" r:id="rId2"/>
    <sheet name="DCF by Business" sheetId="8" r:id="rId3"/>
    <sheet name="DCF Scenarios" sheetId="1" r:id="rId4"/>
    <sheet name="DCF by Region" sheetId="2" r:id="rId5"/>
    <sheet name="Update Log" sheetId="10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C8" i="10"/>
  <c r="C9" i="10"/>
  <c r="C10" i="10"/>
  <c r="C11" i="10"/>
  <c r="B7" i="10"/>
  <c r="B8" i="10"/>
  <c r="B9" i="10"/>
  <c r="B10" i="10"/>
  <c r="B11" i="10"/>
  <c r="C41" i="1"/>
  <c r="G33" i="1"/>
  <c r="H33" i="1"/>
  <c r="I33" i="1"/>
  <c r="J33" i="1"/>
  <c r="K33" i="1"/>
  <c r="G20" i="1"/>
  <c r="H20" i="1"/>
  <c r="I20" i="1"/>
  <c r="J20" i="1"/>
  <c r="K20" i="1"/>
  <c r="G7" i="1"/>
  <c r="H7" i="1"/>
  <c r="I7" i="1"/>
  <c r="J7" i="1"/>
  <c r="K7" i="1"/>
  <c r="O8" i="8"/>
  <c r="O6" i="8"/>
  <c r="O5" i="8"/>
  <c r="O4" i="8"/>
  <c r="S5" i="6"/>
  <c r="S4" i="6"/>
  <c r="S3" i="6"/>
  <c r="C34" i="6"/>
  <c r="D34" i="6"/>
  <c r="E34" i="6"/>
  <c r="F34" i="6"/>
  <c r="G34" i="6"/>
  <c r="H34" i="6"/>
  <c r="C32" i="6"/>
  <c r="D32" i="6"/>
  <c r="E32" i="6"/>
  <c r="F32" i="6"/>
  <c r="G32" i="6"/>
  <c r="H32" i="6"/>
  <c r="G45" i="2"/>
  <c r="H45" i="2"/>
  <c r="I45" i="2"/>
  <c r="J45" i="2"/>
  <c r="K45" i="2"/>
  <c r="G43" i="2"/>
  <c r="G44" i="2" s="1"/>
  <c r="H43" i="2"/>
  <c r="I43" i="2"/>
  <c r="J43" i="2"/>
  <c r="K43" i="2"/>
  <c r="G33" i="2"/>
  <c r="H33" i="2"/>
  <c r="I33" i="2"/>
  <c r="J33" i="2"/>
  <c r="K33" i="2"/>
  <c r="G31" i="2"/>
  <c r="H31" i="2"/>
  <c r="I31" i="2"/>
  <c r="J31" i="2"/>
  <c r="K31" i="2"/>
  <c r="G22" i="2"/>
  <c r="H22" i="2"/>
  <c r="I22" i="2"/>
  <c r="J22" i="2"/>
  <c r="K22" i="2"/>
  <c r="G20" i="2"/>
  <c r="H20" i="2"/>
  <c r="I20" i="2"/>
  <c r="J20" i="2"/>
  <c r="K20" i="2"/>
  <c r="G36" i="1"/>
  <c r="H36" i="1"/>
  <c r="I36" i="1"/>
  <c r="J36" i="1"/>
  <c r="K36" i="1"/>
  <c r="G11" i="8"/>
  <c r="H11" i="8"/>
  <c r="I11" i="8"/>
  <c r="J11" i="8"/>
  <c r="K11" i="8"/>
  <c r="F10" i="8"/>
  <c r="G10" i="8"/>
  <c r="H10" i="8"/>
  <c r="I10" i="8"/>
  <c r="J10" i="8"/>
  <c r="K10" i="8"/>
  <c r="F9" i="8"/>
  <c r="G9" i="8"/>
  <c r="H9" i="8"/>
  <c r="I9" i="8"/>
  <c r="J9" i="8"/>
  <c r="K9" i="8"/>
  <c r="C15" i="6"/>
  <c r="D28" i="6"/>
  <c r="D29" i="6" s="1"/>
  <c r="E28" i="6"/>
  <c r="F28" i="6"/>
  <c r="G28" i="6"/>
  <c r="H28" i="6"/>
  <c r="E21" i="6"/>
  <c r="F21" i="6" s="1"/>
  <c r="G21" i="6" s="1"/>
  <c r="H21" i="6" s="1"/>
  <c r="E4" i="6"/>
  <c r="C6" i="6"/>
  <c r="D6" i="6"/>
  <c r="D8" i="6"/>
  <c r="D9" i="6"/>
  <c r="E9" i="6"/>
  <c r="F9" i="6"/>
  <c r="E20" i="6"/>
  <c r="F20" i="6" s="1"/>
  <c r="C22" i="6"/>
  <c r="D22" i="6"/>
  <c r="D27" i="6"/>
  <c r="E27" i="6" s="1"/>
  <c r="C29" i="6"/>
  <c r="L26" i="7"/>
  <c r="H8" i="1"/>
  <c r="H32" i="1"/>
  <c r="I32" i="1"/>
  <c r="J32" i="1"/>
  <c r="K32" i="1"/>
  <c r="G32" i="1"/>
  <c r="H34" i="1"/>
  <c r="I34" i="1"/>
  <c r="J34" i="1"/>
  <c r="K34" i="1"/>
  <c r="G34" i="1"/>
  <c r="G10" i="2"/>
  <c r="H23" i="1"/>
  <c r="I23" i="1"/>
  <c r="J23" i="1"/>
  <c r="K23" i="1"/>
  <c r="G23" i="1"/>
  <c r="G19" i="1"/>
  <c r="G10" i="1"/>
  <c r="H10" i="1"/>
  <c r="I10" i="1"/>
  <c r="J10" i="1"/>
  <c r="K10" i="1"/>
  <c r="G7" i="8" l="1"/>
  <c r="G5" i="8"/>
  <c r="H7" i="8"/>
  <c r="H5" i="8"/>
  <c r="I5" i="8"/>
  <c r="I7" i="8"/>
  <c r="E8" i="6"/>
  <c r="E15" i="6" s="1"/>
  <c r="F4" i="6"/>
  <c r="E6" i="6"/>
  <c r="E22" i="6"/>
  <c r="E29" i="6"/>
  <c r="F27" i="6"/>
  <c r="F29" i="6" s="1"/>
  <c r="G8" i="1"/>
  <c r="G21" i="2"/>
  <c r="G23" i="2" s="1"/>
  <c r="G8" i="2"/>
  <c r="G9" i="2" s="1"/>
  <c r="G11" i="2" s="1"/>
  <c r="G21" i="1"/>
  <c r="H6" i="1"/>
  <c r="G6" i="1"/>
  <c r="G6" i="8" l="1"/>
  <c r="G8" i="8" s="1"/>
  <c r="G12" i="8" s="1"/>
  <c r="G13" i="8" s="1"/>
  <c r="I6" i="8"/>
  <c r="I8" i="8" s="1"/>
  <c r="I12" i="8" s="1"/>
  <c r="I13" i="8" s="1"/>
  <c r="H6" i="8"/>
  <c r="H8" i="8" s="1"/>
  <c r="F6" i="6"/>
  <c r="F8" i="6"/>
  <c r="F22" i="6"/>
  <c r="D15" i="6"/>
  <c r="J8" i="1"/>
  <c r="I8" i="1"/>
  <c r="G46" i="2"/>
  <c r="H32" i="2"/>
  <c r="H34" i="2" s="1"/>
  <c r="G32" i="2"/>
  <c r="G34" i="2" s="1"/>
  <c r="H10" i="2"/>
  <c r="H8" i="2"/>
  <c r="G35" i="1"/>
  <c r="G37" i="1" s="1"/>
  <c r="G38" i="1" s="1"/>
  <c r="G22" i="1"/>
  <c r="G24" i="1" s="1"/>
  <c r="G25" i="1" s="1"/>
  <c r="H21" i="1"/>
  <c r="H19" i="1"/>
  <c r="G9" i="1"/>
  <c r="G11" i="1" s="1"/>
  <c r="G12" i="1" s="1"/>
  <c r="H9" i="1"/>
  <c r="H11" i="1" s="1"/>
  <c r="H12" i="1" s="1"/>
  <c r="I6" i="1"/>
  <c r="H12" i="8" l="1"/>
  <c r="H13" i="8" s="1"/>
  <c r="F15" i="6"/>
  <c r="K8" i="1"/>
  <c r="J6" i="1"/>
  <c r="J9" i="1" s="1"/>
  <c r="J11" i="1" s="1"/>
  <c r="J12" i="1" s="1"/>
  <c r="I44" i="2"/>
  <c r="H44" i="2"/>
  <c r="H46" i="2" s="1"/>
  <c r="H21" i="2"/>
  <c r="H23" i="2" s="1"/>
  <c r="I21" i="2"/>
  <c r="I23" i="2" s="1"/>
  <c r="H9" i="2"/>
  <c r="H11" i="2" s="1"/>
  <c r="I8" i="2"/>
  <c r="I9" i="2" s="1"/>
  <c r="I10" i="2"/>
  <c r="H35" i="1"/>
  <c r="H37" i="1" s="1"/>
  <c r="H38" i="1" s="1"/>
  <c r="I21" i="1"/>
  <c r="I19" i="1"/>
  <c r="H22" i="1"/>
  <c r="H24" i="1" s="1"/>
  <c r="H25" i="1" s="1"/>
  <c r="I9" i="1"/>
  <c r="I11" i="1" s="1"/>
  <c r="I12" i="1" s="1"/>
  <c r="G20" i="6" l="1"/>
  <c r="G4" i="6"/>
  <c r="K6" i="1"/>
  <c r="K9" i="1" s="1"/>
  <c r="K11" i="1" s="1"/>
  <c r="K12" i="1" s="1"/>
  <c r="I46" i="2"/>
  <c r="J44" i="2"/>
  <c r="I32" i="2"/>
  <c r="I34" i="2" s="1"/>
  <c r="J32" i="2"/>
  <c r="J34" i="2" s="1"/>
  <c r="I11" i="2"/>
  <c r="J8" i="2"/>
  <c r="J9" i="2" s="1"/>
  <c r="J10" i="2"/>
  <c r="I35" i="1"/>
  <c r="I37" i="1" s="1"/>
  <c r="I38" i="1" s="1"/>
  <c r="I22" i="1"/>
  <c r="I24" i="1" s="1"/>
  <c r="I25" i="1" s="1"/>
  <c r="J19" i="1"/>
  <c r="J21" i="1"/>
  <c r="G27" i="6" l="1"/>
  <c r="H20" i="6"/>
  <c r="H22" i="6" s="1"/>
  <c r="G22" i="6"/>
  <c r="H4" i="6"/>
  <c r="G6" i="6"/>
  <c r="G8" i="6"/>
  <c r="J46" i="2"/>
  <c r="K44" i="2"/>
  <c r="K32" i="2"/>
  <c r="K21" i="2"/>
  <c r="J21" i="2"/>
  <c r="J23" i="2" s="1"/>
  <c r="J11" i="2"/>
  <c r="K10" i="2"/>
  <c r="K8" i="2"/>
  <c r="K9" i="2" s="1"/>
  <c r="J35" i="1"/>
  <c r="J37" i="1" s="1"/>
  <c r="J38" i="1" s="1"/>
  <c r="K19" i="1"/>
  <c r="K21" i="1"/>
  <c r="J22" i="1"/>
  <c r="J24" i="1" s="1"/>
  <c r="J25" i="1" s="1"/>
  <c r="G15" i="6" l="1"/>
  <c r="H27" i="6"/>
  <c r="H8" i="6"/>
  <c r="H6" i="6"/>
  <c r="K23" i="2"/>
  <c r="K46" i="2"/>
  <c r="K34" i="2"/>
  <c r="K11" i="2"/>
  <c r="K35" i="1"/>
  <c r="K37" i="1" s="1"/>
  <c r="K38" i="1" s="1"/>
  <c r="K22" i="1"/>
  <c r="K24" i="1" s="1"/>
  <c r="K25" i="1" s="1"/>
  <c r="G29" i="6"/>
  <c r="G9" i="6"/>
  <c r="H9" i="6"/>
  <c r="J5" i="8" l="1"/>
  <c r="J7" i="8"/>
  <c r="H15" i="6"/>
  <c r="H29" i="6"/>
  <c r="J6" i="8" l="1"/>
  <c r="J8" i="8" s="1"/>
  <c r="K7" i="8" l="1"/>
  <c r="K5" i="8"/>
  <c r="K6" i="8" s="1"/>
  <c r="J12" i="8"/>
  <c r="J13" i="8"/>
  <c r="K8" i="8" l="1"/>
  <c r="K12" i="8" s="1"/>
  <c r="K13" i="8" s="1"/>
</calcChain>
</file>

<file path=xl/sharedStrings.xml><?xml version="1.0" encoding="utf-8"?>
<sst xmlns="http://schemas.openxmlformats.org/spreadsheetml/2006/main" count="192" uniqueCount="85">
  <si>
    <t>Base Year</t>
  </si>
  <si>
    <t>FCF (B€)</t>
  </si>
  <si>
    <t>WACC</t>
  </si>
  <si>
    <t>PV (FCF)</t>
  </si>
  <si>
    <t>Growth</t>
  </si>
  <si>
    <t>-</t>
  </si>
  <si>
    <t>Enterprise Value (EV)</t>
  </si>
  <si>
    <t>Debt /PV Debt</t>
  </si>
  <si>
    <t>Stock Price</t>
  </si>
  <si>
    <t>Number of Stocks (Billions)</t>
  </si>
  <si>
    <t>Terminal Value (TV)</t>
  </si>
  <si>
    <t xml:space="preserve">Equtity Value </t>
  </si>
  <si>
    <t>Scenario Bear</t>
  </si>
  <si>
    <t>Scenario Base</t>
  </si>
  <si>
    <t>Discount Period</t>
  </si>
  <si>
    <t>Sum of PV FCF (FY25-29)</t>
  </si>
  <si>
    <t>EU</t>
  </si>
  <si>
    <t>China</t>
  </si>
  <si>
    <t>NAR</t>
  </si>
  <si>
    <t xml:space="preserve">EBIT (B€) </t>
  </si>
  <si>
    <t>Base Year
2025</t>
  </si>
  <si>
    <t>FCF</t>
  </si>
  <si>
    <t>CapEx (€bn) +Capitalzed
development costs</t>
  </si>
  <si>
    <t>D&amp;A</t>
  </si>
  <si>
    <t>BAI (Earnings after tax)</t>
  </si>
  <si>
    <t>BAN (Earnings before tax)</t>
  </si>
  <si>
    <t>EBITDA</t>
  </si>
  <si>
    <t>EBIT</t>
  </si>
  <si>
    <t>EBIT Ratio</t>
  </si>
  <si>
    <t>Revenue Automotive</t>
  </si>
  <si>
    <t>Automotive</t>
  </si>
  <si>
    <t xml:space="preserve">Δ NWC Automotive (€bn) </t>
  </si>
  <si>
    <t>P/E</t>
  </si>
  <si>
    <t>NetIncome</t>
  </si>
  <si>
    <t>Value China</t>
  </si>
  <si>
    <t>China Business</t>
  </si>
  <si>
    <t>(1−T)</t>
  </si>
  <si>
    <t>BookValueFS​≈</t>
  </si>
  <si>
    <t>SOTP</t>
  </si>
  <si>
    <t>Value Finance</t>
  </si>
  <si>
    <t>Finace Business</t>
  </si>
  <si>
    <t>Ratio P/B</t>
  </si>
  <si>
    <t>Financial Services</t>
  </si>
  <si>
    <t>China JV</t>
  </si>
  <si>
    <t>Enterprise Value (EV) Automotive</t>
  </si>
  <si>
    <t>FCF (B€) Automotive</t>
  </si>
  <si>
    <t>PV (FCF) Automotive</t>
  </si>
  <si>
    <t>Sum of PV FCF (FY25-29) Automotive</t>
  </si>
  <si>
    <t>Terminal Value (TV) Automotive</t>
  </si>
  <si>
    <t>Financial Services (Book Value)</t>
  </si>
  <si>
    <t>China Joint Ventures</t>
  </si>
  <si>
    <t>Componente</t>
  </si>
  <si>
    <t>Finance Business</t>
  </si>
  <si>
    <t>EBITDA Ratio</t>
  </si>
  <si>
    <t>29.979 28.040 27.603 27.118 28.199</t>
  </si>
  <si>
    <t>Automotive FCF multiple</t>
  </si>
  <si>
    <t>SOTP equity value (EUR bn)</t>
  </si>
  <si>
    <t>Shares outstanding (bn)</t>
  </si>
  <si>
    <t>Implied value / share (EUR)</t>
  </si>
  <si>
    <t>Value 2026 (EUR bn)</t>
  </si>
  <si>
    <t>Scenario Bull</t>
  </si>
  <si>
    <t>Current market price (EUR)</t>
  </si>
  <si>
    <t>Base 2026 upside / (downside)</t>
  </si>
  <si>
    <t>EU scenario</t>
  </si>
  <si>
    <t>China scenario</t>
  </si>
  <si>
    <t>NAR scenario</t>
  </si>
  <si>
    <t>Other regions</t>
  </si>
  <si>
    <t>Other regions scenario</t>
  </si>
  <si>
    <t>Valuation Recalibration - 21 Oct 2026</t>
  </si>
  <si>
    <t>Reference</t>
  </si>
  <si>
    <t>Value</t>
  </si>
  <si>
    <t>Method</t>
  </si>
  <si>
    <t>2026 value / share</t>
  </si>
  <si>
    <t>Upside / (downside)</t>
  </si>
  <si>
    <t>Key assumption</t>
  </si>
  <si>
    <t>DCF by Business</t>
  </si>
  <si>
    <t>DCF Bear</t>
  </si>
  <si>
    <t>DCF Base</t>
  </si>
  <si>
    <t>DCF Bull</t>
  </si>
  <si>
    <t>2.3x normalized Automotive FCF plus China and Finance</t>
  </si>
  <si>
    <t>9.0% WACC, 1.0% terminal growth, EUR 34.5bn debt</t>
  </si>
  <si>
    <t>10.5% WACC, 0.0% terminal growth</t>
  </si>
  <si>
    <t>9.0% WACC, 1.0% terminal growth</t>
  </si>
  <si>
    <t>8.5% WACC, 1.5% terminal growth</t>
  </si>
  <si>
    <t>The EUR 68 market price is a reasonableness anchor, not a forced valuation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</si>
</sst>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;[Red]0.00"/>
    <numFmt numFmtId="165" formatCode="0.000"/>
    <numFmt numFmtId="166" formatCode="0.0%"/>
    <numFmt numFmtId="167" formatCode="0.0\x"/>
    <numFmt numFmtId="168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rgb="FF001F43"/>
      <name val="Aptos"/>
    </font>
    <font>
      <b/>
      <i/>
      <sz val="11"/>
      <color rgb="FF001F43"/>
      <name val="Aptos"/>
    </font>
    <font>
      <sz val="10"/>
      <color rgb="FF262626"/>
      <name val="Aptos"/>
    </font>
    <font>
      <b/>
      <sz val="10"/>
      <color rgb="FF001F43"/>
      <name val="Aptos"/>
    </font>
    <font>
      <b/>
      <sz val="10"/>
      <color rgb="FF262626"/>
      <name val="Aptos"/>
    </font>
    <font>
      <sz val="10"/>
      <color rgb="FF1F2937"/>
      <name val="Aptos"/>
    </font>
    <font>
      <b/>
      <sz val="10"/>
      <color rgb="FF1F2937"/>
      <name val="Aptos"/>
    </font>
    <font>
      <b/>
      <sz val="10"/>
      <color rgb="FFFFFFFF"/>
      <name val="Aptos"/>
    </font>
    <font>
      <b/>
      <sz val="11"/>
      <color rgb="FFFFFFFF"/>
      <name val="Aptos"/>
    </font>
    <font>
      <b/>
      <i/>
      <sz val="11"/>
      <color rgb="FFFFFFFF"/>
      <name val="Aptos"/>
    </font>
    <font>
      <b/>
      <sz val="10"/>
      <color rgb="FF17365D"/>
      <name val="Aptos"/>
    </font>
    <font>
      <i/>
      <sz val="10"/>
      <color rgb="FF1F2937"/>
      <name val="Aptos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EEE"/>
        <bgColor indexed="64"/>
      </patternFill>
    </fill>
    <fill>
      <patternFill patternType="solid">
        <fgColor rgb="FFEDAB6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medium">
        <color rgb="FF001F43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medium">
        <color rgb="FF001F43"/>
      </bottom>
      <diagonal/>
    </border>
    <border>
      <left/>
      <right style="thin">
        <color rgb="FFD9D9D9"/>
      </right>
      <top/>
      <bottom style="medium">
        <color rgb="FF001F43"/>
      </bottom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  <border>
      <left/>
      <right/>
      <top/>
      <bottom style="thin">
        <color rgb="FF00A6A6"/>
      </bottom>
      <diagonal/>
    </border>
    <border>
      <left style="thin">
        <color rgb="FFD9D9D9"/>
      </left>
      <right/>
      <top/>
      <bottom style="thin">
        <color rgb="FF00A6A6"/>
      </bottom>
      <diagonal/>
    </border>
    <border>
      <left/>
      <right style="thin">
        <color rgb="FFD9D9D9"/>
      </right>
      <top/>
      <bottom style="thin">
        <color rgb="FF00A6A6"/>
      </bottom>
      <diagonal/>
    </border>
    <border>
      <left/>
      <right/>
      <top style="thin">
        <color rgb="FF00A6A6"/>
      </top>
      <bottom style="thin">
        <color rgb="FF00A6A6"/>
      </bottom>
      <diagonal/>
    </border>
    <border>
      <left/>
      <right/>
      <top style="medium">
        <color rgb="FF001F43"/>
      </top>
      <bottom style="thin">
        <color rgb="FF00A6A6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0" fontId="7" fillId="2" borderId="6" xfId="0" applyFont="1" applyFill="1" applyBorder="1" applyAlignment="1">
      <alignment vertical="center"/>
    </xf>
    <xf numFmtId="2" fontId="6" fillId="2" borderId="0" xfId="0" applyNumberFormat="1" applyFont="1" applyFill="1" applyAlignment="1">
      <alignment vertical="center"/>
    </xf>
    <xf numFmtId="2" fontId="6" fillId="2" borderId="9" xfId="0" applyNumberFormat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2" fontId="6" fillId="2" borderId="4" xfId="0" applyNumberFormat="1" applyFont="1" applyFill="1" applyBorder="1" applyAlignment="1">
      <alignment vertical="center"/>
    </xf>
    <xf numFmtId="2" fontId="6" fillId="2" borderId="10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6" fillId="8" borderId="0" xfId="0" applyFont="1" applyFill="1" applyAlignment="1">
      <alignment vertical="center"/>
    </xf>
    <xf numFmtId="0" fontId="7" fillId="8" borderId="6" xfId="0" applyFont="1" applyFill="1" applyBorder="1" applyAlignment="1">
      <alignment vertical="center"/>
    </xf>
    <xf numFmtId="2" fontId="6" fillId="8" borderId="0" xfId="0" applyNumberFormat="1" applyFont="1" applyFill="1" applyAlignment="1">
      <alignment vertical="center"/>
    </xf>
    <xf numFmtId="2" fontId="6" fillId="8" borderId="9" xfId="0" applyNumberFormat="1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4" xfId="0" applyFont="1" applyFill="1" applyBorder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6" fillId="8" borderId="6" xfId="0" applyFont="1" applyFill="1" applyBorder="1" applyAlignment="1">
      <alignment vertical="center"/>
    </xf>
    <xf numFmtId="0" fontId="6" fillId="8" borderId="9" xfId="0" applyFont="1" applyFill="1" applyBorder="1" applyAlignment="1">
      <alignment vertical="center"/>
    </xf>
    <xf numFmtId="0" fontId="11" fillId="9" borderId="15" xfId="0" applyFont="1" applyFill="1" applyBorder="1" applyAlignment="1">
      <alignment vertical="center"/>
    </xf>
    <xf numFmtId="0" fontId="11" fillId="9" borderId="16" xfId="0" applyFont="1" applyFill="1" applyBorder="1" applyAlignment="1">
      <alignment vertical="center"/>
    </xf>
    <xf numFmtId="0" fontId="11" fillId="9" borderId="15" xfId="0" applyFont="1" applyFill="1" applyBorder="1" applyAlignment="1">
      <alignment horizontal="center" vertical="center"/>
    </xf>
    <xf numFmtId="2" fontId="11" fillId="9" borderId="15" xfId="0" applyNumberFormat="1" applyFont="1" applyFill="1" applyBorder="1" applyAlignment="1">
      <alignment vertical="center"/>
    </xf>
    <xf numFmtId="2" fontId="11" fillId="9" borderId="17" xfId="0" applyNumberFormat="1" applyFont="1" applyFill="1" applyBorder="1" applyAlignment="1">
      <alignment vertical="center"/>
    </xf>
    <xf numFmtId="0" fontId="11" fillId="9" borderId="0" xfId="0" applyFont="1" applyFill="1" applyBorder="1" applyAlignment="1">
      <alignment vertical="center"/>
    </xf>
    <xf numFmtId="2" fontId="11" fillId="9" borderId="0" xfId="0" applyNumberFormat="1" applyFont="1" applyFill="1" applyBorder="1" applyAlignment="1">
      <alignment vertical="center"/>
    </xf>
    <xf numFmtId="0" fontId="11" fillId="9" borderId="18" xfId="0" applyFont="1" applyFill="1" applyBorder="1" applyAlignment="1">
      <alignment vertical="center"/>
    </xf>
    <xf numFmtId="0" fontId="11" fillId="9" borderId="18" xfId="0" applyFont="1" applyFill="1" applyBorder="1" applyAlignment="1">
      <alignment vertical="center" wrapText="1"/>
    </xf>
    <xf numFmtId="2" fontId="11" fillId="9" borderId="18" xfId="0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vertical="center"/>
    </xf>
    <xf numFmtId="0" fontId="7" fillId="2" borderId="3" xfId="0" applyFont="1" applyFill="1" applyBorder="1" applyAlignment="1">
      <alignment horizontal="right" vertical="center" wrapText="1"/>
    </xf>
    <xf numFmtId="0" fontId="7" fillId="2" borderId="12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168" fontId="6" fillId="2" borderId="0" xfId="0" applyNumberFormat="1" applyFont="1" applyFill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6" fillId="2" borderId="9" xfId="0" applyNumberFormat="1" applyFont="1" applyFill="1" applyBorder="1" applyAlignment="1">
      <alignment vertical="center"/>
    </xf>
    <xf numFmtId="0" fontId="12" fillId="2" borderId="6" xfId="0" applyFont="1" applyFill="1" applyBorder="1" applyAlignment="1">
      <alignment vertical="center"/>
    </xf>
    <xf numFmtId="166" fontId="6" fillId="2" borderId="0" xfId="0" applyNumberFormat="1" applyFont="1" applyFill="1" applyAlignment="1">
      <alignment vertical="center"/>
    </xf>
    <xf numFmtId="166" fontId="6" fillId="2" borderId="9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vertical="center" wrapText="1"/>
    </xf>
    <xf numFmtId="165" fontId="6" fillId="2" borderId="4" xfId="0" applyNumberFormat="1" applyFont="1" applyFill="1" applyBorder="1" applyAlignment="1">
      <alignment vertical="center"/>
    </xf>
    <xf numFmtId="165" fontId="6" fillId="2" borderId="10" xfId="0" applyNumberFormat="1" applyFont="1" applyFill="1" applyBorder="1" applyAlignment="1">
      <alignment vertical="center"/>
    </xf>
    <xf numFmtId="165" fontId="7" fillId="2" borderId="3" xfId="0" applyNumberFormat="1" applyFont="1" applyFill="1" applyBorder="1" applyAlignment="1">
      <alignment vertical="center"/>
    </xf>
    <xf numFmtId="167" fontId="6" fillId="2" borderId="4" xfId="0" applyNumberFormat="1" applyFont="1" applyFill="1" applyBorder="1" applyAlignment="1">
      <alignment vertical="center"/>
    </xf>
    <xf numFmtId="167" fontId="6" fillId="2" borderId="0" xfId="0" applyNumberFormat="1" applyFont="1" applyFill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2" xfId="0" applyFont="1" applyFill="1" applyBorder="1" applyAlignment="1">
      <alignment horizontal="right" vertical="center" wrapText="1"/>
    </xf>
    <xf numFmtId="0" fontId="8" fillId="7" borderId="2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0" fontId="9" fillId="6" borderId="3" xfId="0" applyFont="1" applyFill="1" applyBorder="1" applyAlignment="1">
      <alignment horizontal="right" vertical="center" wrapText="1"/>
    </xf>
    <xf numFmtId="0" fontId="9" fillId="6" borderId="3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165" fontId="11" fillId="9" borderId="15" xfId="0" applyNumberFormat="1" applyFont="1" applyFill="1" applyBorder="1" applyAlignment="1">
      <alignment vertical="center"/>
    </xf>
    <xf numFmtId="0" fontId="11" fillId="9" borderId="19" xfId="0" applyFont="1" applyFill="1" applyBorder="1" applyAlignment="1">
      <alignment vertical="center"/>
    </xf>
    <xf numFmtId="165" fontId="11" fillId="9" borderId="19" xfId="0" applyNumberFormat="1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vertical="center"/>
    </xf>
    <xf numFmtId="0" fontId="9" fillId="6" borderId="14" xfId="0" applyFont="1" applyFill="1" applyBorder="1" applyAlignment="1">
      <alignment vertical="center"/>
    </xf>
    <xf numFmtId="0" fontId="10" fillId="6" borderId="5" xfId="0" applyFont="1" applyFill="1" applyBorder="1" applyAlignment="1">
      <alignment vertical="center"/>
    </xf>
    <xf numFmtId="0" fontId="9" fillId="6" borderId="2" xfId="0" applyFont="1" applyFill="1" applyBorder="1" applyAlignment="1">
      <alignment vertical="center"/>
    </xf>
    <xf numFmtId="0" fontId="9" fillId="6" borderId="8" xfId="0" applyFont="1" applyFill="1" applyBorder="1" applyAlignment="1">
      <alignment vertical="center"/>
    </xf>
    <xf numFmtId="0" fontId="8" fillId="7" borderId="11" xfId="0" applyFont="1" applyFill="1" applyBorder="1" applyAlignment="1">
      <alignment vertical="center"/>
    </xf>
    <xf numFmtId="0" fontId="8" fillId="7" borderId="3" xfId="0" applyFont="1" applyFill="1" applyBorder="1" applyAlignment="1">
      <alignment vertical="center"/>
    </xf>
    <xf numFmtId="0" fontId="8" fillId="7" borderId="12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6" fillId="8" borderId="7" xfId="0" applyFont="1" applyFill="1" applyBorder="1" applyAlignment="1">
      <alignment vertical="center"/>
    </xf>
    <xf numFmtId="0" fontId="6" fillId="8" borderId="10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6" fillId="8" borderId="0" xfId="0" applyFont="1" applyFill="1" applyAlignment="1">
      <alignment vertical="center" wrapText="1"/>
    </xf>
    <xf numFmtId="0" fontId="7" fillId="8" borderId="0" xfId="0" applyFont="1" applyFill="1" applyAlignment="1">
      <alignment vertical="center"/>
    </xf>
    <xf numFmtId="2" fontId="7" fillId="8" borderId="0" xfId="0" applyNumberFormat="1" applyFont="1" applyFill="1" applyAlignment="1">
      <alignment vertical="center"/>
    </xf>
    <xf numFmtId="0" fontId="7" fillId="8" borderId="0" xfId="0" applyFont="1" applyFill="1" applyAlignment="1">
      <alignment vertical="center" wrapText="1"/>
    </xf>
    <xf numFmtId="165" fontId="6" fillId="9" borderId="0" xfId="0" applyNumberFormat="1" applyFont="1" applyFill="1" applyAlignment="1">
      <alignment vertical="center"/>
    </xf>
    <xf numFmtId="0" fontId="3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2" fontId="3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2" fontId="5" fillId="2" borderId="0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2" fontId="5" fillId="2" borderId="3" xfId="0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2" fontId="3" fillId="2" borderId="9" xfId="0" applyNumberFormat="1" applyFont="1" applyFill="1" applyBorder="1" applyAlignment="1">
      <alignment vertical="center"/>
    </xf>
    <xf numFmtId="2" fontId="5" fillId="2" borderId="9" xfId="0" applyNumberFormat="1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  <xf numFmtId="0" fontId="5" fillId="5" borderId="6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center" vertical="center"/>
    </xf>
    <xf numFmtId="2" fontId="3" fillId="5" borderId="0" xfId="0" applyNumberFormat="1" applyFont="1" applyFill="1" applyBorder="1" applyAlignment="1">
      <alignment vertical="center"/>
    </xf>
    <xf numFmtId="2" fontId="3" fillId="5" borderId="9" xfId="0" applyNumberFormat="1" applyFont="1" applyFill="1" applyBorder="1" applyAlignment="1">
      <alignment vertical="center"/>
    </xf>
    <xf numFmtId="0" fontId="5" fillId="5" borderId="7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2" fontId="3" fillId="5" borderId="4" xfId="0" applyNumberFormat="1" applyFont="1" applyFill="1" applyBorder="1" applyAlignment="1">
      <alignment vertical="center"/>
    </xf>
    <xf numFmtId="2" fontId="3" fillId="5" borderId="10" xfId="0" applyNumberFormat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vertical="center"/>
    </xf>
    <xf numFmtId="0" fontId="5" fillId="5" borderId="1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2" fontId="3" fillId="10" borderId="0" xfId="0" applyNumberFormat="1" applyFont="1" applyFill="1" applyBorder="1" applyAlignment="1">
      <alignment horizontal="right" vertical="center"/>
    </xf>
    <xf numFmtId="0" fontId="3" fillId="10" border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8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7365D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Composición SOTP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7365D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'SOTP Valuation'!$S$2</c:f>
              <c:strCache>
                <c:ptCount val="1"/>
                <c:pt idx="0">
                  <c:v>Value 2026 (EUR bn)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B5-4552-9880-0758843084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B5-4552-9880-0758843084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B5-4552-9880-07588430840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'SOTP Valuation'!$R$3:$R$5</c:f>
              <c:strCache>
                <c:ptCount val="3"/>
                <c:pt idx="0">
                  <c:v>Automotive</c:v>
                </c:pt>
                <c:pt idx="1">
                  <c:v>China Business</c:v>
                </c:pt>
                <c:pt idx="2">
                  <c:v>Finance Business</c:v>
                </c:pt>
              </c:strCache>
            </c:strRef>
          </c:cat>
          <c:val>
            <c:numRef>
              <c:f>'SOTP Valuation'!$S$3:$S$5</c:f>
              <c:numCache>
                <c:formatCode>0.0</c:formatCode>
                <c:ptCount val="3"/>
                <c:pt idx="0">
                  <c:v>19.409699999999997</c:v>
                </c:pt>
                <c:pt idx="1">
                  <c:v>3</c:v>
                </c:pt>
                <c:pt idx="2">
                  <c:v>11.5875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F-4F71-AB89-D583D2E95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E2F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262626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Evolución del valor por acción</a:t>
            </a:r>
          </a:p>
        </c:rich>
      </c:tx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262626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Stock Price</c:v>
          </c:tx>
          <c:spPr>
            <a:ln w="31750" cap="rnd">
              <a:solidFill>
                <a:srgbClr val="2E5299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E5299"/>
              </a:solidFill>
              <a:ln w="9525">
                <a:solidFill>
                  <a:srgbClr val="2E5299"/>
                </a:solidFill>
                <a:prstDash val="solid"/>
              </a:ln>
              <a:effectLst/>
            </c:spPr>
          </c:marker>
          <c:dLbls>
            <c:numFmt formatCode="\€#,#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1F1F1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'DCF by Business'!$G$3:$K$3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by Business'!$G$13:$K$13</c:f>
              <c:numCache>
                <c:formatCode>0.00</c:formatCode>
                <c:ptCount val="5"/>
                <c:pt idx="0">
                  <c:v>67.736774158105803</c:v>
                </c:pt>
                <c:pt idx="1">
                  <c:v>75.340731570274158</c:v>
                </c:pt>
                <c:pt idx="2">
                  <c:v>82.759827082281888</c:v>
                </c:pt>
                <c:pt idx="3">
                  <c:v>89.631301254210157</c:v>
                </c:pt>
                <c:pt idx="4">
                  <c:v>96.401266982660573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67-471E-80FA-AFF69F09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3451135"/>
        <c:axId val="1773453535"/>
      </c:lineChart>
      <c:catAx>
        <c:axId val="1773451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773453535"/>
        <c:crosses val="autoZero"/>
        <c:auto val="1"/>
        <c:lblAlgn val="ctr"/>
        <c:lblOffset val="100"/>
        <c:noMultiLvlLbl val="0"/>
      </c:catAx>
      <c:valAx>
        <c:axId val="177345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Precio por accion (EUR)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€0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Aptos"/>
                <a:ea typeface="Aptos"/>
                <a:cs typeface="Aptos"/>
              </a:defRPr>
            </a:pPr>
            <a:endParaRPr lang="en-US"/>
          </a:p>
        </c:txPr>
        <c:crossAx val="1773451135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9E2F3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Precio por acción por escenario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Bear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'DCF Scenarios'!$G$3:$K$3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Scenarios'!$G$12:$K$12</c:f>
              <c:numCache>
                <c:formatCode>0.00</c:formatCode>
                <c:ptCount val="5"/>
                <c:pt idx="0">
                  <c:v>49.837837791342558</c:v>
                </c:pt>
                <c:pt idx="1">
                  <c:v>56.275631576985219</c:v>
                </c:pt>
                <c:pt idx="2">
                  <c:v>62.101689301548731</c:v>
                </c:pt>
                <c:pt idx="3">
                  <c:v>67.374139731017976</c:v>
                </c:pt>
                <c:pt idx="4">
                  <c:v>72.145588083478785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80-472D-A6DE-91AFF138DB6E}"/>
            </c:ext>
          </c:extLst>
        </c:ser>
        <c:ser>
          <c:idx val="2"/>
          <c:order val="1"/>
          <c:tx>
            <c:v>Base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'DCF Scenarios'!$G$16:$K$16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Scenarios'!$G$25:$K$25</c:f>
              <c:numCache>
                <c:formatCode>0.00</c:formatCode>
                <c:ptCount val="5"/>
                <c:pt idx="0">
                  <c:v>66.564119467487046</c:v>
                </c:pt>
                <c:pt idx="1">
                  <c:v>72.879239416966072</c:v>
                </c:pt>
                <c:pt idx="2">
                  <c:v>78.861927442499066</c:v>
                </c:pt>
                <c:pt idx="3">
                  <c:v>84.329439392698887</c:v>
                </c:pt>
                <c:pt idx="4">
                  <c:v>89.326062594367585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80-472D-A6DE-91AFF138DB6E}"/>
            </c:ext>
          </c:extLst>
        </c:ser>
        <c:ser>
          <c:idx val="3"/>
          <c:order val="2"/>
          <c:tx>
            <c:v>Bull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'DCF Scenarios'!$G$29:$K$29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Scenarios'!$G$38:$K$38</c:f>
              <c:numCache>
                <c:formatCode>0.00</c:formatCode>
                <c:ptCount val="5"/>
                <c:pt idx="0">
                  <c:v>96.213103746424167</c:v>
                </c:pt>
                <c:pt idx="1">
                  <c:v>103.44534232094325</c:v>
                </c:pt>
                <c:pt idx="2">
                  <c:v>110.04923463883907</c:v>
                </c:pt>
                <c:pt idx="3">
                  <c:v>116.30208628841014</c:v>
                </c:pt>
                <c:pt idx="4">
                  <c:v>122.00953000491907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80-472D-A6DE-91AFF138D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878704"/>
        <c:axId val="311882064"/>
      </c:lineChart>
      <c:catAx>
        <c:axId val="31187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82064"/>
        <c:crosses val="autoZero"/>
        <c:auto val="1"/>
        <c:lblAlgn val="ctr"/>
        <c:lblOffset val="100"/>
        <c:noMultiLvlLbl val="0"/>
      </c:catAx>
      <c:valAx>
        <c:axId val="31188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87870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Enterprise value por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EU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'DCF by Region'!$G$5:$K$5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by Region'!$G$11:$K$11</c:f>
              <c:numCache>
                <c:formatCode>0.00</c:formatCode>
                <c:ptCount val="5"/>
                <c:pt idx="0">
                  <c:v>25.866666666666664</c:v>
                </c:pt>
                <c:pt idx="1">
                  <c:v>26.119815668202762</c:v>
                </c:pt>
                <c:pt idx="2">
                  <c:v>26.348602292113512</c:v>
                </c:pt>
                <c:pt idx="3">
                  <c:v>26.555290030099229</c:v>
                </c:pt>
                <c:pt idx="4">
                  <c:v>26.741937244963204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27-4529-90A5-05F1BA5A8C7B}"/>
            </c:ext>
          </c:extLst>
        </c:ser>
        <c:ser>
          <c:idx val="2"/>
          <c:order val="1"/>
          <c:tx>
            <c:v>China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'DCF by Region'!$G$17:$K$17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by Region'!$G$23:$K$23</c:f>
              <c:numCache>
                <c:formatCode>0.00</c:formatCode>
                <c:ptCount val="5"/>
                <c:pt idx="0">
                  <c:v>6.6086956521739131</c:v>
                </c:pt>
                <c:pt idx="1">
                  <c:v>6.6866835640475726</c:v>
                </c:pt>
                <c:pt idx="2">
                  <c:v>6.7566278796293293</c:v>
                </c:pt>
                <c:pt idx="3">
                  <c:v>6.8193582075053456</c:v>
                </c:pt>
                <c:pt idx="4">
                  <c:v>6.8756185912506513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27-4529-90A5-05F1BA5A8C7B}"/>
            </c:ext>
          </c:extLst>
        </c:ser>
        <c:ser>
          <c:idx val="3"/>
          <c:order val="2"/>
          <c:tx>
            <c:v>NAR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'DCF by Region'!$G$28:$K$28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by Region'!$G$34:$K$34</c:f>
              <c:numCache>
                <c:formatCode>0.00</c:formatCode>
                <c:ptCount val="5"/>
                <c:pt idx="0">
                  <c:v>18.533333333333328</c:v>
                </c:pt>
                <c:pt idx="1">
                  <c:v>18.767584097859324</c:v>
                </c:pt>
                <c:pt idx="2">
                  <c:v>18.975759616193919</c:v>
                </c:pt>
                <c:pt idx="3">
                  <c:v>19.160568862421869</c:v>
                </c:pt>
                <c:pt idx="4">
                  <c:v>19.418907922723641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27-4529-90A5-05F1BA5A8C7B}"/>
            </c:ext>
          </c:extLst>
        </c:ser>
        <c:ser>
          <c:idx val="4"/>
          <c:order val="3"/>
          <c:tx>
            <c:v>Otras regiones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'DCF by Region'!$G$40:$K$40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'DCF by Region'!$G$46:$K$46</c:f>
              <c:numCache>
                <c:formatCode>0.00</c:formatCode>
                <c:ptCount val="5"/>
                <c:pt idx="0">
                  <c:v>7.3333333333333321</c:v>
                </c:pt>
                <c:pt idx="1">
                  <c:v>7.3676767676767669</c:v>
                </c:pt>
                <c:pt idx="2">
                  <c:v>7.3979797979797954</c:v>
                </c:pt>
                <c:pt idx="3">
                  <c:v>7.4246932131229624</c:v>
                </c:pt>
                <c:pt idx="4">
                  <c:v>7.448219232141092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27-4529-90A5-05F1BA5A8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914880"/>
        <c:axId val="314913440"/>
      </c:lineChart>
      <c:catAx>
        <c:axId val="3149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13440"/>
        <c:crosses val="autoZero"/>
        <c:auto val="1"/>
        <c:lblAlgn val="ctr"/>
        <c:lblOffset val="100"/>
        <c:noMultiLvlLbl val="0"/>
      </c:catAx>
      <c:valAx>
        <c:axId val="31491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914880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por acción por método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\€#,#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'Update Log'!$A$7:$A$11</c:f>
              <c:strCache>
                <c:ptCount val="5"/>
                <c:pt idx="0">
                  <c:v>SOTP</c:v>
                </c:pt>
                <c:pt idx="1">
                  <c:v>DCF by Business</c:v>
                </c:pt>
                <c:pt idx="2">
                  <c:v>DCF Bear</c:v>
                </c:pt>
                <c:pt idx="3">
                  <c:v>DCF Base</c:v>
                </c:pt>
                <c:pt idx="4">
                  <c:v>DCF Bull</c:v>
                </c:pt>
              </c:strCache>
            </c:strRef>
          </c:cat>
          <c:val>
            <c:numRef>
              <c:f>'Update Log'!$B$7:$B$11</c:f>
              <c:numCache>
                <c:formatCode>0.00</c:formatCode>
                <c:ptCount val="5"/>
                <c:pt idx="0" formatCode="General">
                  <c:v>67.858682634730542</c:v>
                </c:pt>
                <c:pt idx="1">
                  <c:v>67.736774158105803</c:v>
                </c:pt>
                <c:pt idx="2">
                  <c:v>49.837837791342558</c:v>
                </c:pt>
                <c:pt idx="3">
                  <c:v>66.564119467487046</c:v>
                </c:pt>
                <c:pt idx="4">
                  <c:v>96.213103746424167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1-41A0-ADC3-D3DA5CA56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103951"/>
        <c:axId val="1079540895"/>
      </c:barChart>
      <c:catAx>
        <c:axId val="108510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540895"/>
        <c:crosses val="autoZero"/>
        <c:auto val="1"/>
        <c:lblAlgn val="ctr"/>
        <c:lblOffset val="100"/>
        <c:noMultiLvlLbl val="0"/>
      </c:catAx>
      <c:valAx>
        <c:axId val="10795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10395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107077</xdr:colOff>
      <xdr:row>35</xdr:row>
      <xdr:rowOff>80572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E299E5-D067-CF2B-0AC7-D109AAAC4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80017" cy="64851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0</xdr:colOff>
      <xdr:row>16</xdr:row>
      <xdr:rowOff>3810</xdr:rowOff>
    </xdr:to>
    <xdr:graphicFrame macro="">
      <xdr:nvGraphicFramePr>
        <xdr:cNvPr id="4" name="SOTP Composition 2026">
          <a:extLst>
            <a:ext uri="{FF2B5EF4-FFF2-40B4-BE49-F238E27FC236}">
              <a16:creationId xmlns:a16="http://schemas.microsoft.com/office/drawing/2014/main" id="{578DBDE0-6554-0A70-DDE4-2CB5C36B6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3810</xdr:rowOff>
    </xdr:from>
    <xdr:to>
      <xdr:col>10</xdr:col>
      <xdr:colOff>861060</xdr:colOff>
      <xdr:row>33</xdr:row>
      <xdr:rowOff>3810</xdr:rowOff>
    </xdr:to>
    <xdr:graphicFrame macro="">
      <xdr:nvGraphicFramePr>
        <xdr:cNvPr id="3" name="StockPriceEvolution">
          <a:extLst>
            <a:ext uri="{FF2B5EF4-FFF2-40B4-BE49-F238E27FC236}">
              <a16:creationId xmlns:a16="http://schemas.microsoft.com/office/drawing/2014/main" id="{BA9F883F-FB91-F1F0-44B2-D69C6D433B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598170</xdr:colOff>
      <xdr:row>0</xdr:row>
      <xdr:rowOff>190499</xdr:rowOff>
    </xdr:from>
    <xdr:to>
      <xdr:col>20</xdr:col>
      <xdr:colOff>600075</xdr:colOff>
      <xdr:row>18</xdr:row>
      <xdr:rowOff>3809</xdr:rowOff>
    </xdr:to>
    <xdr:graphicFrame macro="">
      <xdr:nvGraphicFramePr>
        <xdr:cNvPr id="3" name="ScenarioPriceComparison">
          <a:extLst>
            <a:ext uri="{FF2B5EF4-FFF2-40B4-BE49-F238E27FC236}">
              <a16:creationId xmlns:a16="http://schemas.microsoft.com/office/drawing/2014/main" id="{AFAF702F-DF67-BF20-2802-3CFEF793D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607694</xdr:colOff>
      <xdr:row>0</xdr:row>
      <xdr:rowOff>190499</xdr:rowOff>
    </xdr:from>
    <xdr:to>
      <xdr:col>20</xdr:col>
      <xdr:colOff>607694</xdr:colOff>
      <xdr:row>18</xdr:row>
      <xdr:rowOff>5714</xdr:rowOff>
    </xdr:to>
    <xdr:graphicFrame macro="">
      <xdr:nvGraphicFramePr>
        <xdr:cNvPr id="2" name="RegionalEVComparison">
          <a:extLst>
            <a:ext uri="{FF2B5EF4-FFF2-40B4-BE49-F238E27FC236}">
              <a16:creationId xmlns:a16="http://schemas.microsoft.com/office/drawing/2014/main" id="{F4B5DBC1-9C05-69AF-E8CA-8F6C7149A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</xdr:colOff>
      <xdr:row>1</xdr:row>
      <xdr:rowOff>0</xdr:rowOff>
    </xdr:from>
    <xdr:to>
      <xdr:col>13</xdr:col>
      <xdr:colOff>1904</xdr:colOff>
      <xdr:row>14</xdr:row>
      <xdr:rowOff>0</xdr:rowOff>
    </xdr:to>
    <xdr:graphicFrame macro="">
      <xdr:nvGraphicFramePr>
        <xdr:cNvPr id="2" name="MethodValueComparison">
          <a:extLst>
            <a:ext uri="{FF2B5EF4-FFF2-40B4-BE49-F238E27FC236}">
              <a16:creationId xmlns:a16="http://schemas.microsoft.com/office/drawing/2014/main" id="{4AC3221E-DD91-D502-75CA-283215D9A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B7E9C-261B-4A7C-8E7D-530B70D582C9}">
  <sheetPr>
    <tabColor rgb="FFA6A6A6"/>
  </sheetPr>
  <dimension ref="L24:L26"/>
  <sheetViews>
    <sheetView showGridLines="0" topLeftCell="A13" workbookViewId="0">
      <selection activeCell="I37" sqref="I37"/>
    </sheetView>
  </sheetViews>
  <sheetFormatPr defaultRowHeight="15" x14ac:dyDescent="0.25"/>
  <cols>
    <col min="1" max="1" width="36.140625" customWidth="1"/>
    <col min="2" max="11" width="15.5703125" customWidth="1"/>
    <col min="12" max="12" width="7.28515625" bestFit="1" customWidth="1"/>
  </cols>
  <sheetData>
    <row r="24" spans="12:12" x14ac:dyDescent="0.25">
      <c r="L24" s="35">
        <v>46.451999999999998</v>
      </c>
    </row>
    <row r="25" spans="12:12" x14ac:dyDescent="0.25">
      <c r="L25" s="2">
        <v>16.472999999999999</v>
      </c>
    </row>
    <row r="26" spans="12:12" x14ac:dyDescent="0.25">
      <c r="L26" s="35">
        <f>L24-L25</f>
        <v>29.978999999999999</v>
      </c>
    </row>
  </sheetData>
  <pageMargins left="0.7" right="0.7" top="0.75" bottom="0.75" header="0.3" footer="0.3"/>
  <headerFooter>
    <oddHeader>&amp;L&amp;"Arial"&amp;8&amp;K000000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AFEB-A40A-4E54-A109-74A7E7242C8F}">
  <sheetPr>
    <tabColor rgb="FF1F4E78"/>
  </sheetPr>
  <dimension ref="A1:S37"/>
  <sheetViews>
    <sheetView showGridLines="0" topLeftCell="A19" zoomScale="70" zoomScaleNormal="70" workbookViewId="0">
      <selection activeCell="N41" sqref="N41"/>
    </sheetView>
  </sheetViews>
  <sheetFormatPr defaultRowHeight="15" x14ac:dyDescent="0.25"/>
  <cols>
    <col min="2" max="2" width="40" customWidth="1"/>
    <col min="3" max="8" width="13.7109375" customWidth="1"/>
    <col min="18" max="18" width="25.7109375" customWidth="1"/>
    <col min="19" max="19" width="17.140625" customWidth="1"/>
  </cols>
  <sheetData>
    <row r="1" spans="1:19" x14ac:dyDescent="0.25">
      <c r="A1" s="13"/>
      <c r="B1" s="14" t="s">
        <v>14</v>
      </c>
      <c r="C1" s="13"/>
      <c r="D1" s="13">
        <v>1</v>
      </c>
      <c r="E1" s="13">
        <v>2</v>
      </c>
      <c r="F1" s="13">
        <v>3</v>
      </c>
      <c r="G1" s="13">
        <v>4</v>
      </c>
      <c r="H1" s="13">
        <v>5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27" x14ac:dyDescent="0.25">
      <c r="A2" s="15"/>
      <c r="B2" s="51"/>
      <c r="C2" s="52" t="s">
        <v>20</v>
      </c>
      <c r="D2" s="53">
        <v>2026</v>
      </c>
      <c r="E2" s="53">
        <v>2027</v>
      </c>
      <c r="F2" s="53">
        <v>2028</v>
      </c>
      <c r="G2" s="53">
        <v>2029</v>
      </c>
      <c r="H2" s="54">
        <v>2030</v>
      </c>
      <c r="I2" s="15"/>
      <c r="J2" s="15"/>
      <c r="K2" s="15"/>
      <c r="L2" s="15"/>
      <c r="M2" s="15"/>
      <c r="N2" s="15"/>
      <c r="O2" s="15"/>
      <c r="P2" s="15"/>
      <c r="Q2" s="15"/>
      <c r="R2" s="15" t="s">
        <v>51</v>
      </c>
      <c r="S2" s="15" t="s">
        <v>59</v>
      </c>
    </row>
    <row r="3" spans="1:19" ht="15.75" thickBot="1" x14ac:dyDescent="0.3">
      <c r="A3" s="2"/>
      <c r="B3" s="38" t="s">
        <v>30</v>
      </c>
      <c r="C3" s="36"/>
      <c r="D3" s="12"/>
      <c r="E3" s="12"/>
      <c r="F3" s="12"/>
      <c r="G3" s="12"/>
      <c r="H3" s="37"/>
      <c r="I3" s="2"/>
      <c r="J3" s="2"/>
      <c r="K3" s="2"/>
      <c r="L3" s="2"/>
      <c r="M3" s="2"/>
      <c r="N3" s="2"/>
      <c r="O3" s="2"/>
      <c r="P3" s="2"/>
      <c r="Q3" s="2"/>
      <c r="R3" s="2" t="s">
        <v>30</v>
      </c>
      <c r="S3" s="39">
        <f>D15*D30</f>
        <v>19.409699999999997</v>
      </c>
    </row>
    <row r="4" spans="1:19" x14ac:dyDescent="0.25">
      <c r="A4" s="2"/>
      <c r="B4" s="3" t="s">
        <v>29</v>
      </c>
      <c r="C4" s="40">
        <v>280</v>
      </c>
      <c r="D4" s="40">
        <v>275</v>
      </c>
      <c r="E4" s="40">
        <f>D4*1.02</f>
        <v>280.5</v>
      </c>
      <c r="F4" s="40">
        <f>E4*1.02</f>
        <v>286.11</v>
      </c>
      <c r="G4" s="40">
        <f>F4*1.01</f>
        <v>288.97110000000004</v>
      </c>
      <c r="H4" s="41">
        <f>G4*1.01</f>
        <v>291.86081100000001</v>
      </c>
      <c r="I4" s="2"/>
      <c r="J4" s="2"/>
      <c r="K4" s="2"/>
      <c r="L4" s="2"/>
      <c r="M4" s="2"/>
      <c r="N4" s="2"/>
      <c r="O4" s="2"/>
      <c r="P4" s="2"/>
      <c r="Q4" s="2"/>
      <c r="R4" s="2" t="s">
        <v>35</v>
      </c>
      <c r="S4" s="39">
        <f>D22</f>
        <v>3</v>
      </c>
    </row>
    <row r="5" spans="1:19" x14ac:dyDescent="0.25">
      <c r="A5" s="2"/>
      <c r="B5" s="42" t="s">
        <v>53</v>
      </c>
      <c r="C5" s="40">
        <v>0.14000000000000001</v>
      </c>
      <c r="D5" s="40">
        <v>0.14000000000000001</v>
      </c>
      <c r="E5" s="40">
        <v>0.14499999999999999</v>
      </c>
      <c r="F5" s="40">
        <v>0.15</v>
      </c>
      <c r="G5" s="40">
        <v>0.15</v>
      </c>
      <c r="H5" s="41">
        <v>0.155</v>
      </c>
      <c r="I5" s="2"/>
      <c r="J5" s="2"/>
      <c r="K5" s="2"/>
      <c r="L5" s="2"/>
      <c r="M5" s="2"/>
      <c r="N5" s="2"/>
      <c r="O5" s="2"/>
      <c r="P5" s="2"/>
      <c r="Q5" s="2"/>
      <c r="R5" s="2" t="s">
        <v>52</v>
      </c>
      <c r="S5" s="39">
        <f>D29</f>
        <v>11.5875</v>
      </c>
    </row>
    <row r="6" spans="1:19" x14ac:dyDescent="0.25">
      <c r="A6" s="2"/>
      <c r="B6" s="3" t="s">
        <v>26</v>
      </c>
      <c r="C6" s="40">
        <f t="shared" ref="C6:H6" si="0">C4*C5</f>
        <v>39.200000000000003</v>
      </c>
      <c r="D6" s="40">
        <f t="shared" si="0"/>
        <v>38.500000000000007</v>
      </c>
      <c r="E6" s="40">
        <f t="shared" si="0"/>
        <v>40.672499999999999</v>
      </c>
      <c r="F6" s="40">
        <f t="shared" si="0"/>
        <v>42.916499999999999</v>
      </c>
      <c r="G6" s="40">
        <f t="shared" si="0"/>
        <v>43.345665000000004</v>
      </c>
      <c r="H6" s="41">
        <f t="shared" si="0"/>
        <v>45.238425705000004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/>
      <c r="B7" s="42" t="s">
        <v>28</v>
      </c>
      <c r="C7" s="40">
        <v>2.8000000000000001E-2</v>
      </c>
      <c r="D7" s="40">
        <v>0.02</v>
      </c>
      <c r="E7" s="40">
        <v>4.4999999999999998E-2</v>
      </c>
      <c r="F7" s="40">
        <v>0.05</v>
      </c>
      <c r="G7" s="40">
        <v>5.5E-2</v>
      </c>
      <c r="H7" s="41">
        <v>0.06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2"/>
      <c r="B8" s="3" t="s">
        <v>27</v>
      </c>
      <c r="C8" s="40">
        <v>5.2789999999999999</v>
      </c>
      <c r="D8" s="40">
        <f>D4*D7</f>
        <v>5.5</v>
      </c>
      <c r="E8" s="40">
        <f>E4*E7</f>
        <v>12.622499999999999</v>
      </c>
      <c r="F8" s="40">
        <f>F4*F7</f>
        <v>14.305500000000002</v>
      </c>
      <c r="G8" s="40">
        <f>G4*G7</f>
        <v>15.893410500000002</v>
      </c>
      <c r="H8" s="41">
        <f>H4*H7</f>
        <v>17.511648659999999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5">
      <c r="A9" s="2"/>
      <c r="B9" s="3" t="s">
        <v>36</v>
      </c>
      <c r="C9" s="43">
        <v>0.72</v>
      </c>
      <c r="D9" s="43">
        <f>$C$9</f>
        <v>0.72</v>
      </c>
      <c r="E9" s="43">
        <f>$C$9</f>
        <v>0.72</v>
      </c>
      <c r="F9" s="43">
        <f>$C$9</f>
        <v>0.72</v>
      </c>
      <c r="G9" s="43">
        <f>$C$9</f>
        <v>0.72</v>
      </c>
      <c r="H9" s="44">
        <f>$C$9</f>
        <v>0.72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/>
      <c r="B10" s="3" t="s">
        <v>24</v>
      </c>
      <c r="C10" s="40">
        <v>9.3070000000000004</v>
      </c>
      <c r="D10" s="40">
        <v>9.5670000000000002</v>
      </c>
      <c r="E10" s="40">
        <v>14.131</v>
      </c>
      <c r="F10" s="40">
        <v>18.198</v>
      </c>
      <c r="G10" s="40">
        <v>18.728999999999999</v>
      </c>
      <c r="H10" s="41">
        <v>28.7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"/>
      <c r="B11" s="3" t="s">
        <v>25</v>
      </c>
      <c r="C11" s="40">
        <v>7.3230000000000004</v>
      </c>
      <c r="D11" s="40">
        <v>6.4619999999999997</v>
      </c>
      <c r="E11" s="40">
        <v>9.5449999999999999</v>
      </c>
      <c r="F11" s="40">
        <v>12.292</v>
      </c>
      <c r="G11" s="40">
        <v>12.651</v>
      </c>
      <c r="H11" s="41">
        <v>12.976000000000001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5">
      <c r="A12" s="2"/>
      <c r="B12" s="3" t="s">
        <v>23</v>
      </c>
      <c r="C12" s="40">
        <v>30</v>
      </c>
      <c r="D12" s="40">
        <v>29.978999999999999</v>
      </c>
      <c r="E12" s="40">
        <v>28.04</v>
      </c>
      <c r="F12" s="40">
        <v>27.603000000000002</v>
      </c>
      <c r="G12" s="40">
        <v>27.117999999999999</v>
      </c>
      <c r="H12" s="40">
        <v>27.117999999999999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/>
      <c r="B13" s="3" t="s">
        <v>31</v>
      </c>
      <c r="C13" s="40">
        <v>2.7440000000000002</v>
      </c>
      <c r="D13" s="40">
        <v>1.5</v>
      </c>
      <c r="E13" s="40">
        <v>0.1</v>
      </c>
      <c r="F13" s="40">
        <v>0.1</v>
      </c>
      <c r="G13" s="40">
        <v>0.1</v>
      </c>
      <c r="H13" s="41">
        <v>0.1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7" x14ac:dyDescent="0.25">
      <c r="A14" s="2"/>
      <c r="B14" s="45" t="s">
        <v>22</v>
      </c>
      <c r="C14" s="46">
        <v>23.998999999999999</v>
      </c>
      <c r="D14" s="46">
        <v>24</v>
      </c>
      <c r="E14" s="46">
        <v>27</v>
      </c>
      <c r="F14" s="46">
        <v>28</v>
      </c>
      <c r="G14" s="46">
        <v>29.983000000000001</v>
      </c>
      <c r="H14" s="47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.75" thickBot="1" x14ac:dyDescent="0.3">
      <c r="A15" s="2"/>
      <c r="B15" s="12" t="s">
        <v>21</v>
      </c>
      <c r="C15" s="48">
        <f>C8*C9+C12-C13-C14</f>
        <v>7.0578800000000008</v>
      </c>
      <c r="D15" s="48">
        <f t="shared" ref="D15:H15" si="1">D8*D9+D12-D13-D14</f>
        <v>8.4390000000000001</v>
      </c>
      <c r="E15" s="48">
        <f t="shared" si="1"/>
        <v>10.028199999999998</v>
      </c>
      <c r="F15" s="48">
        <f t="shared" si="1"/>
        <v>9.8029599999999988</v>
      </c>
      <c r="G15" s="48">
        <f t="shared" si="1"/>
        <v>8.4782555599999974</v>
      </c>
      <c r="H15" s="48">
        <f t="shared" si="1"/>
        <v>9.6263870351999969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 s="13"/>
      <c r="B17" s="14" t="s">
        <v>14</v>
      </c>
      <c r="C17" s="13"/>
      <c r="D17" s="13">
        <v>1</v>
      </c>
      <c r="E17" s="13">
        <v>2</v>
      </c>
      <c r="F17" s="13">
        <v>3</v>
      </c>
      <c r="G17" s="13">
        <v>4</v>
      </c>
      <c r="H17" s="13">
        <v>5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27" x14ac:dyDescent="0.25">
      <c r="A18" s="15"/>
      <c r="B18" s="51"/>
      <c r="C18" s="52" t="s">
        <v>20</v>
      </c>
      <c r="D18" s="53">
        <v>2026</v>
      </c>
      <c r="E18" s="53">
        <v>2027</v>
      </c>
      <c r="F18" s="53">
        <v>2028</v>
      </c>
      <c r="G18" s="53">
        <v>2029</v>
      </c>
      <c r="H18" s="54">
        <v>2030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</row>
    <row r="19" spans="1:19" ht="15.75" thickBot="1" x14ac:dyDescent="0.3">
      <c r="A19" s="13"/>
      <c r="B19" s="55" t="s">
        <v>35</v>
      </c>
      <c r="C19" s="56"/>
      <c r="D19" s="57"/>
      <c r="E19" s="57"/>
      <c r="F19" s="57"/>
      <c r="G19" s="57"/>
      <c r="H19" s="58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x14ac:dyDescent="0.25">
      <c r="A20" s="2"/>
      <c r="B20" s="3" t="s">
        <v>33</v>
      </c>
      <c r="C20" s="40">
        <v>0.94399999999999995</v>
      </c>
      <c r="D20" s="40">
        <v>0.6</v>
      </c>
      <c r="E20" s="40">
        <f>D20*1.03</f>
        <v>0.61799999999999999</v>
      </c>
      <c r="F20" s="40">
        <f>E20*1.03</f>
        <v>0.63653999999999999</v>
      </c>
      <c r="G20" s="40">
        <f>F20*1.03</f>
        <v>0.6556362</v>
      </c>
      <c r="H20" s="41">
        <f>G20*1.03</f>
        <v>0.67530528600000006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5">
      <c r="A21" s="2"/>
      <c r="B21" s="7" t="s">
        <v>32</v>
      </c>
      <c r="C21" s="49">
        <v>8</v>
      </c>
      <c r="D21" s="49">
        <v>5</v>
      </c>
      <c r="E21" s="49">
        <f>D21*1.1</f>
        <v>5.5</v>
      </c>
      <c r="F21" s="49">
        <f t="shared" ref="F21:H21" si="2">E21*1.1</f>
        <v>6.0500000000000007</v>
      </c>
      <c r="G21" s="49">
        <f t="shared" si="2"/>
        <v>6.6550000000000011</v>
      </c>
      <c r="H21" s="49">
        <f t="shared" si="2"/>
        <v>7.3205000000000018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5"/>
      <c r="B22" s="25" t="s">
        <v>34</v>
      </c>
      <c r="C22" s="59">
        <f>C21*C20</f>
        <v>7.5519999999999996</v>
      </c>
      <c r="D22" s="59">
        <f>D20*D21</f>
        <v>3</v>
      </c>
      <c r="E22" s="59">
        <f>E20*E21</f>
        <v>3.399</v>
      </c>
      <c r="F22" s="59">
        <f>F20*F21</f>
        <v>3.8510670000000005</v>
      </c>
      <c r="G22" s="59">
        <f>G20*G21</f>
        <v>4.3632589110000009</v>
      </c>
      <c r="H22" s="59">
        <f>H20*H21</f>
        <v>4.9435723461630019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</row>
    <row r="23" spans="1: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5">
      <c r="A24" s="13"/>
      <c r="B24" s="14" t="s">
        <v>14</v>
      </c>
      <c r="C24" s="13"/>
      <c r="D24" s="13">
        <v>1</v>
      </c>
      <c r="E24" s="13">
        <v>2</v>
      </c>
      <c r="F24" s="13">
        <v>3</v>
      </c>
      <c r="G24" s="13">
        <v>4</v>
      </c>
      <c r="H24" s="13">
        <v>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27" x14ac:dyDescent="0.25">
      <c r="A25" s="15"/>
      <c r="B25" s="51"/>
      <c r="C25" s="52" t="s">
        <v>20</v>
      </c>
      <c r="D25" s="53">
        <v>2026</v>
      </c>
      <c r="E25" s="53">
        <v>2027</v>
      </c>
      <c r="F25" s="53">
        <v>2028</v>
      </c>
      <c r="G25" s="53">
        <v>2029</v>
      </c>
      <c r="H25" s="54">
        <v>2030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1:19" ht="15.75" thickBot="1" x14ac:dyDescent="0.3">
      <c r="A26" s="13"/>
      <c r="B26" s="55" t="s">
        <v>40</v>
      </c>
      <c r="C26" s="56"/>
      <c r="D26" s="57"/>
      <c r="E26" s="57"/>
      <c r="F26" s="57"/>
      <c r="G26" s="57"/>
      <c r="H26" s="58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25">
      <c r="A27" s="2"/>
      <c r="B27" s="3" t="s">
        <v>37</v>
      </c>
      <c r="C27" s="40">
        <v>45</v>
      </c>
      <c r="D27" s="40">
        <f>C27*1.03</f>
        <v>46.35</v>
      </c>
      <c r="E27" s="40">
        <f>D27*1.03</f>
        <v>47.740500000000004</v>
      </c>
      <c r="F27" s="40">
        <f>E27*1.03</f>
        <v>49.172715000000004</v>
      </c>
      <c r="G27" s="40">
        <f>F27*1.03</f>
        <v>50.647896450000005</v>
      </c>
      <c r="H27" s="41">
        <f>G27*1.03</f>
        <v>52.167333343500005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5">
      <c r="A28" s="2"/>
      <c r="B28" s="7" t="s">
        <v>41</v>
      </c>
      <c r="C28" s="49">
        <v>0.25</v>
      </c>
      <c r="D28" s="49">
        <f>$C$28</f>
        <v>0.25</v>
      </c>
      <c r="E28" s="49">
        <f>$C$28</f>
        <v>0.25</v>
      </c>
      <c r="F28" s="49">
        <f>$C$28</f>
        <v>0.25</v>
      </c>
      <c r="G28" s="49">
        <f>$C$28</f>
        <v>0.25</v>
      </c>
      <c r="H28" s="49">
        <f>$C$28</f>
        <v>0.25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5">
      <c r="A29" s="25"/>
      <c r="B29" s="25" t="s">
        <v>39</v>
      </c>
      <c r="C29" s="25">
        <f>C28*C27</f>
        <v>11.25</v>
      </c>
      <c r="D29" s="59">
        <f>D27*D28</f>
        <v>11.5875</v>
      </c>
      <c r="E29" s="59">
        <f>E27*E28</f>
        <v>11.935125000000001</v>
      </c>
      <c r="F29" s="59">
        <f>F27*F28</f>
        <v>12.293178750000001</v>
      </c>
      <c r="G29" s="59">
        <f>G27*G28</f>
        <v>12.661974112500001</v>
      </c>
      <c r="H29" s="59">
        <f>H27*H28</f>
        <v>13.041833335875001</v>
      </c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</row>
    <row r="30" spans="1:19" x14ac:dyDescent="0.25">
      <c r="A30" s="2"/>
      <c r="B30" s="2" t="s">
        <v>55</v>
      </c>
      <c r="C30" s="50">
        <v>2.2999999999999998</v>
      </c>
      <c r="D30" s="50">
        <v>2.2999999999999998</v>
      </c>
      <c r="E30" s="50">
        <v>2.2999999999999998</v>
      </c>
      <c r="F30" s="50">
        <v>2.2999999999999998</v>
      </c>
      <c r="G30" s="50">
        <v>2.2999999999999998</v>
      </c>
      <c r="H30" s="50">
        <v>2.2999999999999998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thickBo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5">
      <c r="A32" s="25"/>
      <c r="B32" s="60" t="s">
        <v>56</v>
      </c>
      <c r="C32" s="61">
        <f>C15*C30+C22+C29</f>
        <v>35.035123999999996</v>
      </c>
      <c r="D32" s="61">
        <f>D15*D30+D22+D29</f>
        <v>33.997199999999999</v>
      </c>
      <c r="E32" s="61">
        <f>E15*E30+E22+E29</f>
        <v>38.398984999999996</v>
      </c>
      <c r="F32" s="61">
        <f>F15*F30+F22+F29</f>
        <v>38.691053749999995</v>
      </c>
      <c r="G32" s="61">
        <f>G15*G30+G22+G29</f>
        <v>36.525220811499992</v>
      </c>
      <c r="H32" s="61">
        <f>H15*H30+H22+H29</f>
        <v>40.126095862998</v>
      </c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</row>
    <row r="33" spans="1:19" x14ac:dyDescent="0.25">
      <c r="A33" s="16"/>
      <c r="B33" s="80" t="s">
        <v>57</v>
      </c>
      <c r="C33" s="83">
        <v>0.501</v>
      </c>
      <c r="D33" s="83">
        <v>0.501</v>
      </c>
      <c r="E33" s="83">
        <v>0.501</v>
      </c>
      <c r="F33" s="83">
        <v>0.501</v>
      </c>
      <c r="G33" s="83">
        <v>0.501</v>
      </c>
      <c r="H33" s="83">
        <v>0.501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 spans="1:19" x14ac:dyDescent="0.25">
      <c r="A34" s="25"/>
      <c r="B34" s="25" t="s">
        <v>58</v>
      </c>
      <c r="C34" s="25">
        <f>IFERROR(C32/C33,"")</f>
        <v>69.930387225548898</v>
      </c>
      <c r="D34" s="25">
        <f>IFERROR(D32/D33,"")</f>
        <v>67.858682634730542</v>
      </c>
      <c r="E34" s="25">
        <f>IFERROR(E32/E33,"")</f>
        <v>76.644680638722548</v>
      </c>
      <c r="F34" s="25">
        <f>IFERROR(F32/F33,"")</f>
        <v>77.227652195608769</v>
      </c>
      <c r="G34" s="25">
        <f>IFERROR(G32/G33,"")</f>
        <v>72.904632358283422</v>
      </c>
      <c r="H34" s="25">
        <f>IFERROR(H32/H33,"")</f>
        <v>80.092007710574848</v>
      </c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13"/>
      <c r="B37" s="13"/>
      <c r="C37" s="13"/>
      <c r="D37" s="13"/>
      <c r="E37" s="13" t="s">
        <v>54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</sheetData>
  <pageMargins left="0.7" right="0.7" top="0.75" bottom="0.75" header="0.3" footer="0.3"/>
  <pageSetup paperSize="9" orientation="portrait" verticalDpi="0" r:id="rId1"/>
  <headerFooter>
    <oddHeader>&amp;L&amp;"Arial"&amp;8&amp;K000000 INTERNAL&amp;1#_x000D_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C110-169A-443D-AE17-EAAB57AA3B09}">
  <sheetPr>
    <tabColor rgb="FF5B9BD5"/>
  </sheetPr>
  <dimension ref="A1:Q36"/>
  <sheetViews>
    <sheetView showGridLines="0" tabSelected="1" zoomScale="70" zoomScaleNormal="70" workbookViewId="0">
      <selection activeCell="N27" sqref="N27"/>
    </sheetView>
  </sheetViews>
  <sheetFormatPr defaultRowHeight="15" x14ac:dyDescent="0.25"/>
  <cols>
    <col min="2" max="2" width="33.28515625" customWidth="1"/>
    <col min="3" max="3" width="14.28515625" customWidth="1"/>
    <col min="5" max="5" width="39" customWidth="1"/>
    <col min="6" max="11" width="13" customWidth="1"/>
    <col min="14" max="14" width="24.7109375" customWidth="1"/>
    <col min="15" max="15" width="15.28515625" customWidth="1"/>
  </cols>
  <sheetData>
    <row r="1" spans="1:17" x14ac:dyDescent="0.25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1"/>
    </row>
    <row r="2" spans="1:17" x14ac:dyDescent="0.25">
      <c r="A2" s="90"/>
      <c r="B2" s="90" t="s">
        <v>13</v>
      </c>
      <c r="C2" s="90"/>
      <c r="D2" s="90"/>
      <c r="E2" s="91" t="s">
        <v>14</v>
      </c>
      <c r="F2" s="90"/>
      <c r="G2" s="90">
        <v>1</v>
      </c>
      <c r="H2" s="90">
        <v>2</v>
      </c>
      <c r="I2" s="90">
        <v>3</v>
      </c>
      <c r="J2" s="90">
        <v>4</v>
      </c>
      <c r="K2" s="90">
        <v>5</v>
      </c>
      <c r="L2" s="90"/>
      <c r="M2" s="90"/>
      <c r="N2" s="90"/>
      <c r="O2" s="90"/>
      <c r="P2" s="90"/>
      <c r="Q2" s="1"/>
    </row>
    <row r="3" spans="1:17" ht="15.75" thickBot="1" x14ac:dyDescent="0.3">
      <c r="A3" s="85"/>
      <c r="B3" s="85"/>
      <c r="C3" s="85"/>
      <c r="D3" s="85"/>
      <c r="E3" s="98"/>
      <c r="F3" s="99" t="s">
        <v>0</v>
      </c>
      <c r="G3" s="99">
        <v>2026</v>
      </c>
      <c r="H3" s="99">
        <v>2027</v>
      </c>
      <c r="I3" s="99">
        <v>2028</v>
      </c>
      <c r="J3" s="99">
        <v>2029</v>
      </c>
      <c r="K3" s="100">
        <v>2030</v>
      </c>
      <c r="L3" s="85"/>
      <c r="M3" s="85"/>
      <c r="N3" s="85"/>
      <c r="O3" s="85"/>
      <c r="P3" s="85"/>
      <c r="Q3" s="1"/>
    </row>
    <row r="4" spans="1:17" ht="15.75" thickBot="1" x14ac:dyDescent="0.3">
      <c r="A4" s="84"/>
      <c r="B4" s="112" t="s">
        <v>2</v>
      </c>
      <c r="C4" s="113">
        <v>0.09</v>
      </c>
      <c r="D4" s="84"/>
      <c r="E4" s="95" t="s">
        <v>45</v>
      </c>
      <c r="F4" s="86">
        <v>4</v>
      </c>
      <c r="G4" s="86">
        <v>4.08</v>
      </c>
      <c r="H4" s="86">
        <v>4.16</v>
      </c>
      <c r="I4" s="86">
        <v>4.25</v>
      </c>
      <c r="J4" s="86">
        <v>4.33</v>
      </c>
      <c r="K4" s="96">
        <v>4.42</v>
      </c>
      <c r="L4" s="84"/>
      <c r="M4" s="84"/>
      <c r="N4" s="98" t="s">
        <v>30</v>
      </c>
      <c r="O4" s="100">
        <f>G8</f>
        <v>50.999999999999993</v>
      </c>
      <c r="P4" s="84"/>
      <c r="Q4" s="1"/>
    </row>
    <row r="5" spans="1:17" x14ac:dyDescent="0.25">
      <c r="A5" s="84"/>
      <c r="B5" s="112" t="s">
        <v>4</v>
      </c>
      <c r="C5" s="114">
        <v>0.01</v>
      </c>
      <c r="D5" s="84"/>
      <c r="E5" s="101" t="s">
        <v>46</v>
      </c>
      <c r="F5" s="102" t="s">
        <v>5</v>
      </c>
      <c r="G5" s="103">
        <f>G4/(1+$C$4)^G2</f>
        <v>3.7431192660550456</v>
      </c>
      <c r="H5" s="103">
        <f>H4/(1+$C$4)^H2</f>
        <v>3.5013887719888896</v>
      </c>
      <c r="I5" s="103">
        <f>I4/(1+$C$4)^I2</f>
        <v>3.2817797902595225</v>
      </c>
      <c r="J5" s="103">
        <f>J4/(1+$C$4)^J2</f>
        <v>3.0674811639123005</v>
      </c>
      <c r="K5" s="104">
        <f>K4/(1+$C$4)^K2</f>
        <v>2.8726967274386861</v>
      </c>
      <c r="L5" s="84"/>
      <c r="M5" s="84"/>
      <c r="N5" s="95" t="s">
        <v>42</v>
      </c>
      <c r="O5" s="109">
        <f>G9</f>
        <v>11.5875</v>
      </c>
      <c r="P5" s="84"/>
      <c r="Q5" s="1"/>
    </row>
    <row r="6" spans="1:17" x14ac:dyDescent="0.25">
      <c r="A6" s="84"/>
      <c r="B6" s="112" t="s">
        <v>9</v>
      </c>
      <c r="C6" s="114">
        <v>0.501</v>
      </c>
      <c r="D6" s="84"/>
      <c r="E6" s="95" t="s">
        <v>47</v>
      </c>
      <c r="F6" s="87"/>
      <c r="G6" s="86">
        <f>SUM($G$5:G5)</f>
        <v>3.7431192660550456</v>
      </c>
      <c r="H6" s="86">
        <f>SUM($G$5:H5)</f>
        <v>7.2445080380439357</v>
      </c>
      <c r="I6" s="86">
        <f>SUM($G$5:I5)</f>
        <v>10.526287828303458</v>
      </c>
      <c r="J6" s="86">
        <f>SUM($G$5:J5)</f>
        <v>13.593768992215757</v>
      </c>
      <c r="K6" s="96">
        <f>SUM($G$5:K5)</f>
        <v>16.466465719654444</v>
      </c>
      <c r="L6" s="84"/>
      <c r="M6" s="84"/>
      <c r="N6" s="101" t="s">
        <v>43</v>
      </c>
      <c r="O6" s="110">
        <f>G10</f>
        <v>3</v>
      </c>
      <c r="P6" s="84"/>
      <c r="Q6" s="1"/>
    </row>
    <row r="7" spans="1:17" x14ac:dyDescent="0.25">
      <c r="A7" s="84"/>
      <c r="B7" s="84"/>
      <c r="C7" s="84"/>
      <c r="D7" s="84"/>
      <c r="E7" s="101" t="s">
        <v>48</v>
      </c>
      <c r="F7" s="102" t="s">
        <v>5</v>
      </c>
      <c r="G7" s="103">
        <f>(G4*(1+$C$5)/($C$4-$C$5))/(1+$C$4)^G2</f>
        <v>47.256880733944946</v>
      </c>
      <c r="H7" s="103">
        <f>(H4*(1+$C$5)/($C$4-$C$5))/(1+$C$4)^H2</f>
        <v>44.205033246359726</v>
      </c>
      <c r="I7" s="103">
        <f>(I4*(1+$C$5)/($C$4-$C$5))/(1+$C$4)^I2</f>
        <v>41.432469852026479</v>
      </c>
      <c r="J7" s="103">
        <f>(J4*(1+$C$5)/($C$4-$C$5))/(1+$C$4)^J2</f>
        <v>38.7269496943928</v>
      </c>
      <c r="K7" s="104">
        <f>(K4*(1+$C$5)/($C$4-$C$5))/(1+$C$4)^K2</f>
        <v>36.267796183913411</v>
      </c>
      <c r="L7" s="84"/>
      <c r="M7" s="84"/>
      <c r="N7" s="95"/>
      <c r="O7" s="109"/>
      <c r="P7" s="84"/>
      <c r="Q7" s="1"/>
    </row>
    <row r="8" spans="1:17" x14ac:dyDescent="0.25">
      <c r="A8" s="85"/>
      <c r="B8" s="85"/>
      <c r="C8" s="85"/>
      <c r="D8" s="85"/>
      <c r="E8" s="95" t="s">
        <v>44</v>
      </c>
      <c r="F8" s="88" t="s">
        <v>5</v>
      </c>
      <c r="G8" s="89">
        <f>G6+G7</f>
        <v>50.999999999999993</v>
      </c>
      <c r="H8" s="89">
        <f>H6+H7</f>
        <v>51.449541284403665</v>
      </c>
      <c r="I8" s="89">
        <f>I6+I7</f>
        <v>51.958757680329938</v>
      </c>
      <c r="J8" s="89">
        <f>J6+J7</f>
        <v>52.320718686608558</v>
      </c>
      <c r="K8" s="97">
        <f>K6+K7</f>
        <v>52.734261903567855</v>
      </c>
      <c r="L8" s="85"/>
      <c r="M8" s="85"/>
      <c r="N8" s="105"/>
      <c r="O8" s="111">
        <f>SUM(O4:O6)</f>
        <v>65.587499999999991</v>
      </c>
      <c r="P8" s="85"/>
      <c r="Q8" s="1"/>
    </row>
    <row r="9" spans="1:17" x14ac:dyDescent="0.25">
      <c r="A9" s="84"/>
      <c r="B9" s="84"/>
      <c r="C9" s="84"/>
      <c r="D9" s="84"/>
      <c r="E9" s="101" t="s">
        <v>49</v>
      </c>
      <c r="F9" s="102">
        <f>'SOTP Valuation'!C29</f>
        <v>11.25</v>
      </c>
      <c r="G9" s="103">
        <f>'SOTP Valuation'!D29</f>
        <v>11.5875</v>
      </c>
      <c r="H9" s="103">
        <f>'SOTP Valuation'!E29</f>
        <v>11.935125000000001</v>
      </c>
      <c r="I9" s="103">
        <f>'SOTP Valuation'!F29</f>
        <v>12.293178750000001</v>
      </c>
      <c r="J9" s="103">
        <f>'SOTP Valuation'!G29</f>
        <v>12.661974112500001</v>
      </c>
      <c r="K9" s="104">
        <f>'SOTP Valuation'!H29</f>
        <v>13.041833335875001</v>
      </c>
      <c r="L9" s="84"/>
      <c r="M9" s="84"/>
      <c r="N9" s="84"/>
      <c r="O9" s="84"/>
      <c r="P9" s="84"/>
      <c r="Q9" s="1"/>
    </row>
    <row r="10" spans="1:17" x14ac:dyDescent="0.25">
      <c r="A10" s="84"/>
      <c r="B10" s="84"/>
      <c r="C10" s="84"/>
      <c r="D10" s="84"/>
      <c r="E10" s="95" t="s">
        <v>50</v>
      </c>
      <c r="F10" s="87">
        <f>'SOTP Valuation'!C22</f>
        <v>7.5519999999999996</v>
      </c>
      <c r="G10" s="86">
        <f>'SOTP Valuation'!D22</f>
        <v>3</v>
      </c>
      <c r="H10" s="86">
        <f>'SOTP Valuation'!E22</f>
        <v>3.399</v>
      </c>
      <c r="I10" s="86">
        <f>'SOTP Valuation'!F22</f>
        <v>3.8510670000000005</v>
      </c>
      <c r="J10" s="86">
        <f>'SOTP Valuation'!G22</f>
        <v>4.3632589110000009</v>
      </c>
      <c r="K10" s="96">
        <f>'SOTP Valuation'!H22</f>
        <v>4.9435723461630019</v>
      </c>
      <c r="L10" s="84"/>
      <c r="M10" s="84"/>
      <c r="N10" s="84"/>
      <c r="O10" s="84"/>
      <c r="P10" s="84"/>
      <c r="Q10" s="1"/>
    </row>
    <row r="11" spans="1:17" x14ac:dyDescent="0.25">
      <c r="A11" s="84"/>
      <c r="B11" s="84"/>
      <c r="C11" s="84"/>
      <c r="D11" s="84"/>
      <c r="E11" s="105" t="s">
        <v>7</v>
      </c>
      <c r="F11" s="106">
        <v>-34.5</v>
      </c>
      <c r="G11" s="107">
        <f>$F$11/(1+$C$4)^G$2</f>
        <v>-31.651376146788987</v>
      </c>
      <c r="H11" s="107">
        <f>$F$11/(1+$C$4)^H$2</f>
        <v>-29.037959767696318</v>
      </c>
      <c r="I11" s="107">
        <f>$F$11/(1+$C$4)^I$2</f>
        <v>-26.640330062106713</v>
      </c>
      <c r="J11" s="107">
        <f>$F$11/(1+$C$4)^J$2</f>
        <v>-24.440669781749278</v>
      </c>
      <c r="K11" s="108">
        <f>$F$11/(1+$C$4)^K$2</f>
        <v>-22.422632827292912</v>
      </c>
      <c r="L11" s="84"/>
      <c r="M11" s="84"/>
      <c r="N11" s="84"/>
      <c r="O11" s="84"/>
      <c r="P11" s="84"/>
      <c r="Q11" s="1"/>
    </row>
    <row r="12" spans="1:17" x14ac:dyDescent="0.25">
      <c r="A12" s="85"/>
      <c r="B12" s="85"/>
      <c r="C12" s="85"/>
      <c r="D12" s="85"/>
      <c r="E12" s="85" t="s">
        <v>11</v>
      </c>
      <c r="F12" s="85"/>
      <c r="G12" s="89">
        <f>G8+G11+G9+G10</f>
        <v>33.936123853211008</v>
      </c>
      <c r="H12" s="89">
        <f>H8+H11+H9+H10</f>
        <v>37.745706516707351</v>
      </c>
      <c r="I12" s="89">
        <f>I8+I11+I9+I10</f>
        <v>41.462673368223228</v>
      </c>
      <c r="J12" s="89">
        <f>J8+J11+J9+J10</f>
        <v>44.905281928359287</v>
      </c>
      <c r="K12" s="89">
        <f>K8+K11+K9+K10</f>
        <v>48.297034758312947</v>
      </c>
      <c r="L12" s="85"/>
      <c r="M12" s="85"/>
      <c r="N12" s="85"/>
      <c r="O12" s="85"/>
      <c r="P12" s="85"/>
      <c r="Q12" s="1"/>
    </row>
    <row r="13" spans="1:17" ht="15.75" thickBot="1" x14ac:dyDescent="0.3">
      <c r="A13" s="85"/>
      <c r="B13" s="85"/>
      <c r="C13" s="85"/>
      <c r="D13" s="85"/>
      <c r="E13" s="92" t="s">
        <v>8</v>
      </c>
      <c r="F13" s="93"/>
      <c r="G13" s="94">
        <f>G12/$C$6</f>
        <v>67.736774158105803</v>
      </c>
      <c r="H13" s="94">
        <f>H12/$C$6</f>
        <v>75.340731570274158</v>
      </c>
      <c r="I13" s="94">
        <f>I12/$C$6</f>
        <v>82.759827082281888</v>
      </c>
      <c r="J13" s="94">
        <f>J12/$C$6</f>
        <v>89.631301254210157</v>
      </c>
      <c r="K13" s="94">
        <f>K12/$C$6</f>
        <v>96.401266982660573</v>
      </c>
      <c r="L13" s="85"/>
      <c r="M13" s="85"/>
      <c r="N13" s="85"/>
      <c r="O13" s="85"/>
      <c r="P13" s="85"/>
      <c r="Q13" s="1"/>
    </row>
    <row r="14" spans="1:17" x14ac:dyDescent="0.25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1"/>
    </row>
    <row r="15" spans="1:17" x14ac:dyDescent="0.2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1"/>
    </row>
    <row r="16" spans="1:17" x14ac:dyDescent="0.25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1"/>
    </row>
    <row r="17" spans="1:17" x14ac:dyDescent="0.2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1"/>
    </row>
    <row r="18" spans="1:17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1"/>
    </row>
    <row r="19" spans="1:17" x14ac:dyDescent="0.25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1"/>
    </row>
    <row r="20" spans="1:17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1"/>
    </row>
    <row r="21" spans="1:17" x14ac:dyDescent="0.25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1"/>
    </row>
    <row r="22" spans="1:17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1"/>
    </row>
    <row r="23" spans="1:17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1"/>
    </row>
    <row r="24" spans="1:17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1"/>
    </row>
    <row r="25" spans="1:17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1"/>
    </row>
    <row r="26" spans="1:17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1"/>
    </row>
    <row r="27" spans="1:17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1"/>
    </row>
    <row r="28" spans="1:17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1"/>
    </row>
    <row r="29" spans="1:17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1"/>
    </row>
    <row r="30" spans="1:17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1"/>
    </row>
    <row r="31" spans="1:17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1"/>
    </row>
    <row r="32" spans="1:17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1"/>
    </row>
    <row r="33" spans="1:17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1"/>
    </row>
    <row r="34" spans="1:17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1"/>
    </row>
    <row r="35" spans="1:17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1"/>
    </row>
    <row r="36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L41"/>
  <sheetViews>
    <sheetView showGridLines="0" zoomScale="85" zoomScaleNormal="85" workbookViewId="0">
      <selection activeCell="G18" sqref="G18"/>
    </sheetView>
  </sheetViews>
  <sheetFormatPr defaultRowHeight="15" x14ac:dyDescent="0.25"/>
  <cols>
    <col min="1" max="1" width="4.85546875" customWidth="1"/>
    <col min="2" max="2" width="35.28515625" customWidth="1"/>
    <col min="3" max="3" width="14.85546875" customWidth="1"/>
    <col min="4" max="4" width="13.5703125" customWidth="1"/>
    <col min="5" max="5" width="36.140625" customWidth="1"/>
    <col min="6" max="11" width="13" customWidth="1"/>
    <col min="13" max="13" width="21.85546875" customWidth="1"/>
  </cols>
  <sheetData>
    <row r="1" spans="1:1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13"/>
      <c r="B2" s="13" t="s">
        <v>12</v>
      </c>
      <c r="C2" s="13"/>
      <c r="D2" s="13"/>
      <c r="E2" s="14" t="s">
        <v>14</v>
      </c>
      <c r="F2" s="13"/>
      <c r="G2" s="13">
        <v>1</v>
      </c>
      <c r="H2" s="13">
        <v>2</v>
      </c>
      <c r="I2" s="13">
        <v>3</v>
      </c>
      <c r="J2" s="13">
        <v>4</v>
      </c>
      <c r="K2" s="13">
        <v>5</v>
      </c>
      <c r="L2" s="13"/>
    </row>
    <row r="3" spans="1:12" x14ac:dyDescent="0.25">
      <c r="A3" s="15"/>
      <c r="B3" s="15"/>
      <c r="C3" s="15"/>
      <c r="D3" s="15"/>
      <c r="E3" s="15"/>
      <c r="F3" s="15" t="s">
        <v>0</v>
      </c>
      <c r="G3" s="15">
        <v>2026</v>
      </c>
      <c r="H3" s="15">
        <v>2027</v>
      </c>
      <c r="I3" s="15">
        <v>2028</v>
      </c>
      <c r="J3" s="15">
        <v>2029</v>
      </c>
      <c r="K3" s="15">
        <v>2030</v>
      </c>
      <c r="L3" s="15"/>
    </row>
    <row r="4" spans="1:12" ht="15.75" thickBot="1" x14ac:dyDescent="0.3">
      <c r="A4" s="16"/>
      <c r="B4" s="16" t="s">
        <v>2</v>
      </c>
      <c r="C4" s="16">
        <v>0.105</v>
      </c>
      <c r="D4" s="16"/>
      <c r="E4" s="20" t="s">
        <v>19</v>
      </c>
      <c r="F4" s="62"/>
      <c r="G4" s="62">
        <v>13.1</v>
      </c>
      <c r="H4" s="62">
        <v>12</v>
      </c>
      <c r="I4" s="62">
        <v>17.100000000000001</v>
      </c>
      <c r="J4" s="62">
        <v>19.2</v>
      </c>
      <c r="K4" s="21">
        <v>21.4</v>
      </c>
      <c r="L4" s="16"/>
    </row>
    <row r="5" spans="1:12" x14ac:dyDescent="0.25">
      <c r="A5" s="16"/>
      <c r="B5" s="16" t="s">
        <v>4</v>
      </c>
      <c r="C5" s="16">
        <v>0</v>
      </c>
      <c r="D5" s="16"/>
      <c r="E5" s="17" t="s">
        <v>1</v>
      </c>
      <c r="F5" s="18">
        <v>5.8</v>
      </c>
      <c r="G5" s="18">
        <v>5.9</v>
      </c>
      <c r="H5" s="18">
        <v>5.93</v>
      </c>
      <c r="I5" s="18">
        <v>5.96</v>
      </c>
      <c r="J5" s="18">
        <v>5.99</v>
      </c>
      <c r="K5" s="19">
        <v>6.02</v>
      </c>
      <c r="L5" s="16"/>
    </row>
    <row r="6" spans="1:12" x14ac:dyDescent="0.25">
      <c r="A6" s="16"/>
      <c r="B6" s="16" t="s">
        <v>9</v>
      </c>
      <c r="C6" s="16">
        <v>0.501</v>
      </c>
      <c r="D6" s="16"/>
      <c r="E6" s="17" t="s">
        <v>3</v>
      </c>
      <c r="F6" s="22" t="s">
        <v>5</v>
      </c>
      <c r="G6" s="18">
        <f>G5/(1+$C$4)^G2</f>
        <v>5.3393665158371046</v>
      </c>
      <c r="H6" s="18">
        <f>H5/(1+$C$4)^H2</f>
        <v>4.8565754181937306</v>
      </c>
      <c r="I6" s="18">
        <f>I5/(1+$C$4)^I2</f>
        <v>4.4173257372871486</v>
      </c>
      <c r="J6" s="18">
        <f>J5/(1+$C$4)^J2</f>
        <v>4.0177018989872177</v>
      </c>
      <c r="K6" s="19">
        <f>K5/(1+$C$4)^K2</f>
        <v>3.6541393169465022</v>
      </c>
      <c r="L6" s="16"/>
    </row>
    <row r="7" spans="1:12" x14ac:dyDescent="0.25">
      <c r="A7" s="2"/>
      <c r="B7" s="2"/>
      <c r="C7" s="2"/>
      <c r="D7" s="2"/>
      <c r="E7" s="3" t="s">
        <v>15</v>
      </c>
      <c r="F7" s="6"/>
      <c r="G7" s="4">
        <f>SUM($G$6:G6)</f>
        <v>5.3393665158371046</v>
      </c>
      <c r="H7" s="4">
        <f>SUM($G$6:H6)</f>
        <v>10.195941934030834</v>
      </c>
      <c r="I7" s="4">
        <f>SUM($G$6:I6)</f>
        <v>14.613267671317983</v>
      </c>
      <c r="J7" s="4">
        <f>SUM($G$6:J6)</f>
        <v>18.630969570305201</v>
      </c>
      <c r="K7" s="5">
        <f>SUM($G$6:K6)</f>
        <v>22.285108887251702</v>
      </c>
      <c r="L7" s="2"/>
    </row>
    <row r="8" spans="1:12" x14ac:dyDescent="0.25">
      <c r="A8" s="2"/>
      <c r="B8" s="2"/>
      <c r="C8" s="2"/>
      <c r="D8" s="2"/>
      <c r="E8" s="3" t="s">
        <v>10</v>
      </c>
      <c r="F8" s="6" t="s">
        <v>5</v>
      </c>
      <c r="G8" s="4">
        <f>(G5*(1+$C$5)/($C$4-$C$5))/(1+$C$4)^G2</f>
        <v>50.85110967463909</v>
      </c>
      <c r="H8" s="4">
        <f>(H5*(1+$C$5)/($C$4-$C$5))/(1+$C$4)^H2</f>
        <v>46.253099220892672</v>
      </c>
      <c r="I8" s="4">
        <f>(I5*(1+$C$5)/($C$4-$C$5))/(1+$C$4)^I2</f>
        <v>42.069768926544278</v>
      </c>
      <c r="J8" s="4">
        <f>(J5*(1+$C$5)/($C$4-$C$5))/(1+$C$4)^J2</f>
        <v>38.263827609402078</v>
      </c>
      <c r="K8" s="5">
        <f>(K5*(1+$C$5)/($C$4-$C$5))/(1+$C$4)^K2</f>
        <v>34.801326828061924</v>
      </c>
      <c r="L8" s="2"/>
    </row>
    <row r="9" spans="1:12" x14ac:dyDescent="0.25">
      <c r="A9" s="25"/>
      <c r="B9" s="25"/>
      <c r="C9" s="25"/>
      <c r="D9" s="25"/>
      <c r="E9" s="26" t="s">
        <v>6</v>
      </c>
      <c r="F9" s="27" t="s">
        <v>5</v>
      </c>
      <c r="G9" s="28">
        <f>G7+G8</f>
        <v>56.190476190476197</v>
      </c>
      <c r="H9" s="28">
        <f>H7+H8</f>
        <v>56.449041154923506</v>
      </c>
      <c r="I9" s="28">
        <f>I7+I8</f>
        <v>56.683036597862262</v>
      </c>
      <c r="J9" s="28">
        <f>J7+J8</f>
        <v>56.894797179707282</v>
      </c>
      <c r="K9" s="29">
        <f>K7+K8</f>
        <v>57.086435715313627</v>
      </c>
      <c r="L9" s="25"/>
    </row>
    <row r="10" spans="1:12" x14ac:dyDescent="0.25">
      <c r="A10" s="2"/>
      <c r="B10" s="2"/>
      <c r="C10" s="2"/>
      <c r="D10" s="2"/>
      <c r="E10" s="8" t="s">
        <v>7</v>
      </c>
      <c r="F10" s="9">
        <v>-34.5</v>
      </c>
      <c r="G10" s="10">
        <f>$F$10/(1+$C$4)^G2</f>
        <v>-31.221719457013574</v>
      </c>
      <c r="H10" s="10">
        <f>$F$10/(1+$C$4)^H2</f>
        <v>-28.254949734853913</v>
      </c>
      <c r="I10" s="10">
        <f>$F$10/(1+$C$4)^I2</f>
        <v>-25.570090257786347</v>
      </c>
      <c r="J10" s="10">
        <f>$F$10/(1+$C$4)^J2</f>
        <v>-23.140353174467279</v>
      </c>
      <c r="K10" s="11">
        <f>$F$10/(1+$C$4)^K2</f>
        <v>-20.941496085490751</v>
      </c>
      <c r="L10" s="2"/>
    </row>
    <row r="11" spans="1:12" x14ac:dyDescent="0.25">
      <c r="A11" s="30"/>
      <c r="B11" s="30"/>
      <c r="C11" s="30"/>
      <c r="D11" s="30"/>
      <c r="E11" s="30" t="s">
        <v>11</v>
      </c>
      <c r="F11" s="30"/>
      <c r="G11" s="31">
        <f>G9+G10</f>
        <v>24.968756733462623</v>
      </c>
      <c r="H11" s="31">
        <f>H9+H10</f>
        <v>28.194091420069594</v>
      </c>
      <c r="I11" s="31">
        <f>I9+I10</f>
        <v>31.112946340075915</v>
      </c>
      <c r="J11" s="31">
        <f>J9+J10</f>
        <v>33.754444005240003</v>
      </c>
      <c r="K11" s="31">
        <f>K9+K10</f>
        <v>36.144939629822872</v>
      </c>
      <c r="L11" s="30"/>
    </row>
    <row r="12" spans="1:12" x14ac:dyDescent="0.25">
      <c r="A12" s="32"/>
      <c r="B12" s="32"/>
      <c r="C12" s="32"/>
      <c r="D12" s="32"/>
      <c r="E12" s="33" t="s">
        <v>8</v>
      </c>
      <c r="F12" s="32"/>
      <c r="G12" s="34">
        <f>G11/$C$6</f>
        <v>49.837837791342558</v>
      </c>
      <c r="H12" s="34">
        <f>H11/$C$6</f>
        <v>56.275631576985219</v>
      </c>
      <c r="I12" s="34">
        <f>I11/$C$6</f>
        <v>62.101689301548731</v>
      </c>
      <c r="J12" s="34">
        <f>J11/$C$6</f>
        <v>67.374139731017976</v>
      </c>
      <c r="K12" s="34">
        <f>K11/$C$6</f>
        <v>72.145588083478785</v>
      </c>
      <c r="L12" s="3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13"/>
      <c r="B15" s="13" t="s">
        <v>13</v>
      </c>
      <c r="C15" s="13"/>
      <c r="D15" s="13"/>
      <c r="E15" s="14" t="s">
        <v>14</v>
      </c>
      <c r="F15" s="13"/>
      <c r="G15" s="13">
        <v>1</v>
      </c>
      <c r="H15" s="13">
        <v>2</v>
      </c>
      <c r="I15" s="13">
        <v>3</v>
      </c>
      <c r="J15" s="13">
        <v>4</v>
      </c>
      <c r="K15" s="13">
        <v>5</v>
      </c>
      <c r="L15" s="13"/>
    </row>
    <row r="16" spans="1:12" x14ac:dyDescent="0.25">
      <c r="A16" s="15"/>
      <c r="B16" s="15"/>
      <c r="C16" s="15"/>
      <c r="D16" s="15"/>
      <c r="E16" s="15"/>
      <c r="F16" s="15" t="s">
        <v>0</v>
      </c>
      <c r="G16" s="15">
        <v>2026</v>
      </c>
      <c r="H16" s="15">
        <v>2027</v>
      </c>
      <c r="I16" s="15">
        <v>2028</v>
      </c>
      <c r="J16" s="15">
        <v>2029</v>
      </c>
      <c r="K16" s="15">
        <v>2030</v>
      </c>
      <c r="L16" s="15"/>
    </row>
    <row r="17" spans="1:12" ht="15.75" thickBot="1" x14ac:dyDescent="0.3">
      <c r="A17" s="16"/>
      <c r="B17" s="16" t="s">
        <v>2</v>
      </c>
      <c r="C17" s="16">
        <v>0.09</v>
      </c>
      <c r="D17" s="16"/>
      <c r="E17" s="20"/>
      <c r="F17" s="62"/>
      <c r="G17" s="62"/>
      <c r="H17" s="62"/>
      <c r="I17" s="62"/>
      <c r="J17" s="62"/>
      <c r="K17" s="21"/>
      <c r="L17" s="16"/>
    </row>
    <row r="18" spans="1:12" x14ac:dyDescent="0.25">
      <c r="A18" s="16"/>
      <c r="B18" s="16" t="s">
        <v>4</v>
      </c>
      <c r="C18" s="16">
        <v>0.01</v>
      </c>
      <c r="D18" s="16"/>
      <c r="E18" s="17" t="s">
        <v>1</v>
      </c>
      <c r="F18" s="18">
        <v>5.0999999999999996</v>
      </c>
      <c r="G18" s="18">
        <v>5.2</v>
      </c>
      <c r="H18" s="18">
        <v>5.3</v>
      </c>
      <c r="I18" s="18">
        <v>5.41</v>
      </c>
      <c r="J18" s="18">
        <v>5.52</v>
      </c>
      <c r="K18" s="19">
        <v>5.63</v>
      </c>
      <c r="L18" s="16"/>
    </row>
    <row r="19" spans="1:12" x14ac:dyDescent="0.25">
      <c r="A19" s="16"/>
      <c r="B19" s="16" t="s">
        <v>9</v>
      </c>
      <c r="C19" s="16">
        <v>0.501</v>
      </c>
      <c r="D19" s="16"/>
      <c r="E19" s="17" t="s">
        <v>3</v>
      </c>
      <c r="F19" s="22" t="s">
        <v>5</v>
      </c>
      <c r="G19" s="18">
        <f>G18/(1+$C$17)^G15</f>
        <v>4.7706422018348622</v>
      </c>
      <c r="H19" s="18">
        <f>H18/(1+$C$17)^H15</f>
        <v>4.4609039643127675</v>
      </c>
      <c r="I19" s="18">
        <f>I18/(1+$C$17)^I15</f>
        <v>4.1775126271303575</v>
      </c>
      <c r="J19" s="18">
        <f>J18/(1+$C$17)^J15</f>
        <v>3.9105071650798839</v>
      </c>
      <c r="K19" s="19">
        <f>K18/(1+$C$17)^K15</f>
        <v>3.659113704859684</v>
      </c>
      <c r="L19" s="16"/>
    </row>
    <row r="20" spans="1:12" x14ac:dyDescent="0.25">
      <c r="A20" s="2"/>
      <c r="B20" s="2"/>
      <c r="C20" s="2"/>
      <c r="D20" s="2"/>
      <c r="E20" s="3" t="s">
        <v>15</v>
      </c>
      <c r="F20" s="4"/>
      <c r="G20" s="4">
        <f>SUM($G$19:G19)</f>
        <v>4.7706422018348622</v>
      </c>
      <c r="H20" s="4">
        <f>SUM($G$19:H19)</f>
        <v>9.2315461661476306</v>
      </c>
      <c r="I20" s="4">
        <f>SUM($G$19:I19)</f>
        <v>13.409058793277989</v>
      </c>
      <c r="J20" s="4">
        <f>SUM($G$19:J19)</f>
        <v>17.319565958357874</v>
      </c>
      <c r="K20" s="5">
        <f>SUM($G$19:K19)</f>
        <v>20.978679663217559</v>
      </c>
      <c r="L20" s="2"/>
    </row>
    <row r="21" spans="1:12" x14ac:dyDescent="0.25">
      <c r="A21" s="2"/>
      <c r="B21" s="2"/>
      <c r="C21" s="2"/>
      <c r="D21" s="2"/>
      <c r="E21" s="3" t="s">
        <v>10</v>
      </c>
      <c r="F21" s="6" t="s">
        <v>5</v>
      </c>
      <c r="G21" s="4">
        <f>(G18*(1+$C$18)/($C$17-$C$18))/((1+$C$17)^G15)</f>
        <v>60.22935779816514</v>
      </c>
      <c r="H21" s="4">
        <f>(H18*(1+$C$18)/($C$17-$C$18))/(1+$C$17)^H15</f>
        <v>56.31891254944869</v>
      </c>
      <c r="I21" s="4">
        <f>(I18*(1+$C$18)/($C$17-$C$18))/(1+$C$17)^I15</f>
        <v>52.741096917520757</v>
      </c>
      <c r="J21" s="4">
        <f>(J18*(1+$C$18)/($C$17-$C$18))/(1+$C$17)^J15</f>
        <v>49.370152959133542</v>
      </c>
      <c r="K21" s="5">
        <f>((K18*(1+$C$18))/($C$17-$C$18))/(1+$C$17)^K15</f>
        <v>46.196310523853512</v>
      </c>
      <c r="L21" s="2"/>
    </row>
    <row r="22" spans="1:12" x14ac:dyDescent="0.25">
      <c r="A22" s="25"/>
      <c r="B22" s="25"/>
      <c r="C22" s="25"/>
      <c r="D22" s="25"/>
      <c r="E22" s="26" t="s">
        <v>6</v>
      </c>
      <c r="F22" s="27" t="s">
        <v>5</v>
      </c>
      <c r="G22" s="28">
        <f>G20+G21</f>
        <v>65</v>
      </c>
      <c r="H22" s="28">
        <f>H20+H21</f>
        <v>65.550458715596321</v>
      </c>
      <c r="I22" s="28">
        <f>I20+I21</f>
        <v>66.150155710798742</v>
      </c>
      <c r="J22" s="28">
        <f>J20+J21</f>
        <v>66.689718917491419</v>
      </c>
      <c r="K22" s="29">
        <f>K20+K21</f>
        <v>67.174990187071074</v>
      </c>
      <c r="L22" s="25"/>
    </row>
    <row r="23" spans="1:12" x14ac:dyDescent="0.25">
      <c r="A23" s="2"/>
      <c r="B23" s="2"/>
      <c r="C23" s="2"/>
      <c r="D23" s="2"/>
      <c r="E23" s="8" t="s">
        <v>7</v>
      </c>
      <c r="F23" s="9">
        <v>-34.5</v>
      </c>
      <c r="G23" s="10">
        <f>$F$23/(1+$C$17)^G15</f>
        <v>-31.651376146788987</v>
      </c>
      <c r="H23" s="10">
        <f>$F$23/(1+$C$17)^H15</f>
        <v>-29.037959767696318</v>
      </c>
      <c r="I23" s="10">
        <f>$F$23/(1+$C$17)^I15</f>
        <v>-26.640330062106713</v>
      </c>
      <c r="J23" s="10">
        <f>$F$23/(1+$C$17)^J15</f>
        <v>-24.440669781749278</v>
      </c>
      <c r="K23" s="11">
        <f>$F$23/(1+$C$17)^K15</f>
        <v>-22.422632827292912</v>
      </c>
      <c r="L23" s="2"/>
    </row>
    <row r="24" spans="1:12" x14ac:dyDescent="0.25">
      <c r="A24" s="30"/>
      <c r="B24" s="30"/>
      <c r="C24" s="30"/>
      <c r="D24" s="30"/>
      <c r="E24" s="30" t="s">
        <v>11</v>
      </c>
      <c r="F24" s="30"/>
      <c r="G24" s="31">
        <f>G22+G23</f>
        <v>33.348623853211009</v>
      </c>
      <c r="H24" s="31">
        <f>H22+H23</f>
        <v>36.512498947899999</v>
      </c>
      <c r="I24" s="31">
        <f>I22+I23</f>
        <v>39.509825648692029</v>
      </c>
      <c r="J24" s="31">
        <f>J22+J23</f>
        <v>42.24904913574214</v>
      </c>
      <c r="K24" s="31">
        <f>K22+K23</f>
        <v>44.752357359778159</v>
      </c>
      <c r="L24" s="30"/>
    </row>
    <row r="25" spans="1:12" x14ac:dyDescent="0.25">
      <c r="A25" s="32"/>
      <c r="B25" s="32"/>
      <c r="C25" s="32"/>
      <c r="D25" s="32"/>
      <c r="E25" s="33" t="s">
        <v>8</v>
      </c>
      <c r="F25" s="32"/>
      <c r="G25" s="34">
        <f>G24/$C$19</f>
        <v>66.564119467487046</v>
      </c>
      <c r="H25" s="34">
        <f>H24/$C$19</f>
        <v>72.879239416966072</v>
      </c>
      <c r="I25" s="34">
        <f>I24/$C$19</f>
        <v>78.861927442499066</v>
      </c>
      <c r="J25" s="34">
        <f>J24/$C$19</f>
        <v>84.329439392698887</v>
      </c>
      <c r="K25" s="34">
        <f>K24/$C$19</f>
        <v>89.326062594367585</v>
      </c>
      <c r="L25" s="3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13"/>
      <c r="B28" s="13" t="s">
        <v>60</v>
      </c>
      <c r="C28" s="13"/>
      <c r="D28" s="13"/>
      <c r="E28" s="14" t="s">
        <v>14</v>
      </c>
      <c r="F28" s="13"/>
      <c r="G28" s="13">
        <v>1</v>
      </c>
      <c r="H28" s="13">
        <v>2</v>
      </c>
      <c r="I28" s="13">
        <v>3</v>
      </c>
      <c r="J28" s="13">
        <v>4</v>
      </c>
      <c r="K28" s="13">
        <v>5</v>
      </c>
      <c r="L28" s="13"/>
    </row>
    <row r="29" spans="1:12" x14ac:dyDescent="0.25">
      <c r="A29" s="15"/>
      <c r="B29" s="15"/>
      <c r="C29" s="15"/>
      <c r="D29" s="15"/>
      <c r="E29" s="15"/>
      <c r="F29" s="15" t="s">
        <v>0</v>
      </c>
      <c r="G29" s="15">
        <v>2026</v>
      </c>
      <c r="H29" s="15">
        <v>2027</v>
      </c>
      <c r="I29" s="15">
        <v>2028</v>
      </c>
      <c r="J29" s="15">
        <v>2029</v>
      </c>
      <c r="K29" s="15">
        <v>2030</v>
      </c>
      <c r="L29" s="15"/>
    </row>
    <row r="30" spans="1:12" ht="15.75" thickBot="1" x14ac:dyDescent="0.3">
      <c r="A30" s="16"/>
      <c r="B30" s="16" t="s">
        <v>2</v>
      </c>
      <c r="C30" s="16">
        <v>8.5000000000000006E-2</v>
      </c>
      <c r="D30" s="16"/>
      <c r="E30" s="20"/>
      <c r="F30" s="62"/>
      <c r="G30" s="62"/>
      <c r="H30" s="62"/>
      <c r="I30" s="62"/>
      <c r="J30" s="62"/>
      <c r="K30" s="21"/>
      <c r="L30" s="16"/>
    </row>
    <row r="31" spans="1:12" x14ac:dyDescent="0.25">
      <c r="A31" s="16"/>
      <c r="B31" s="16" t="s">
        <v>4</v>
      </c>
      <c r="C31" s="16">
        <v>1.4999999999999999E-2</v>
      </c>
      <c r="D31" s="16"/>
      <c r="E31" s="17" t="s">
        <v>1</v>
      </c>
      <c r="F31" s="18">
        <v>5.4</v>
      </c>
      <c r="G31" s="18">
        <v>5.6</v>
      </c>
      <c r="H31" s="18">
        <v>5.77</v>
      </c>
      <c r="I31" s="18">
        <v>5.94</v>
      </c>
      <c r="J31" s="18">
        <v>6.12</v>
      </c>
      <c r="K31" s="19">
        <v>6.3</v>
      </c>
      <c r="L31" s="16"/>
    </row>
    <row r="32" spans="1:12" x14ac:dyDescent="0.25">
      <c r="A32" s="16"/>
      <c r="B32" s="16" t="s">
        <v>9</v>
      </c>
      <c r="C32" s="16">
        <v>0.501</v>
      </c>
      <c r="D32" s="16"/>
      <c r="E32" s="17" t="s">
        <v>3</v>
      </c>
      <c r="F32" s="22" t="s">
        <v>5</v>
      </c>
      <c r="G32" s="18">
        <f>G31/(1+$C$30)^G28</f>
        <v>5.161290322580645</v>
      </c>
      <c r="H32" s="18">
        <f>H31/(1+$C$30)^H28</f>
        <v>4.9013570048206585</v>
      </c>
      <c r="I32" s="18">
        <f>I31/(1+$C$30)^I28</f>
        <v>4.6504741046785316</v>
      </c>
      <c r="J32" s="18">
        <f>J31/(1+$C$30)^J28</f>
        <v>4.4160346197198743</v>
      </c>
      <c r="K32" s="19">
        <f>K31/(1+$C$30)^K28</f>
        <v>4.1897861667171483</v>
      </c>
      <c r="L32" s="16"/>
    </row>
    <row r="33" spans="1:12" x14ac:dyDescent="0.25">
      <c r="A33" s="2"/>
      <c r="B33" s="2"/>
      <c r="C33" s="2"/>
      <c r="D33" s="2"/>
      <c r="E33" s="3" t="s">
        <v>15</v>
      </c>
      <c r="F33" s="4"/>
      <c r="G33" s="4">
        <f>SUM($G$32:G32)</f>
        <v>5.161290322580645</v>
      </c>
      <c r="H33" s="4">
        <f>SUM($G$32:H32)</f>
        <v>10.062647327401304</v>
      </c>
      <c r="I33" s="4">
        <f>SUM($G$32:I32)</f>
        <v>14.713121432079836</v>
      </c>
      <c r="J33" s="4">
        <f>SUM($G$32:J32)</f>
        <v>19.129156051799711</v>
      </c>
      <c r="K33" s="5">
        <f>SUM($G$32:K32)</f>
        <v>23.31894221851686</v>
      </c>
      <c r="L33" s="2"/>
    </row>
    <row r="34" spans="1:12" x14ac:dyDescent="0.25">
      <c r="A34" s="2"/>
      <c r="B34" s="2"/>
      <c r="C34" s="2"/>
      <c r="D34" s="2"/>
      <c r="E34" s="3" t="s">
        <v>10</v>
      </c>
      <c r="F34" s="6" t="s">
        <v>5</v>
      </c>
      <c r="G34" s="4">
        <f>(G31*(1+$C$31)/($C$30-$C$31))/((1+$C$30)^G28)</f>
        <v>74.838709677419345</v>
      </c>
      <c r="H34" s="4">
        <f>(H31*(1+$C$31)/($C$30-$C$31))/((1+$C$30)^H28)</f>
        <v>71.069676569899542</v>
      </c>
      <c r="I34" s="4">
        <f>(I31*(1+$C$31)/($C$30-$C$31))/((1+$C$30)^I28)</f>
        <v>67.431874517838693</v>
      </c>
      <c r="J34" s="4">
        <f>(J31*(1+$C$31)/($C$30-$C$31))/((1+$C$30)^J28)</f>
        <v>64.032501985938154</v>
      </c>
      <c r="K34" s="5">
        <f>(K31*(1+$C$31)/($C$30-$C$31))/((1+$C$30)^K28)</f>
        <v>60.75189941739864</v>
      </c>
      <c r="L34" s="2"/>
    </row>
    <row r="35" spans="1:12" x14ac:dyDescent="0.25">
      <c r="A35" s="25"/>
      <c r="B35" s="25"/>
      <c r="C35" s="25"/>
      <c r="D35" s="25"/>
      <c r="E35" s="26" t="s">
        <v>6</v>
      </c>
      <c r="F35" s="27" t="s">
        <v>5</v>
      </c>
      <c r="G35" s="28">
        <f>G33+G34</f>
        <v>79.999999999999986</v>
      </c>
      <c r="H35" s="28">
        <f>H33+H34</f>
        <v>81.13232389730085</v>
      </c>
      <c r="I35" s="28">
        <f>I33+I34</f>
        <v>82.144995949918524</v>
      </c>
      <c r="J35" s="28">
        <f>J33+J34</f>
        <v>83.161658037737865</v>
      </c>
      <c r="K35" s="29">
        <f>K33+K34</f>
        <v>84.0708416359155</v>
      </c>
      <c r="L35" s="25"/>
    </row>
    <row r="36" spans="1:12" x14ac:dyDescent="0.25">
      <c r="A36" s="2"/>
      <c r="B36" s="2"/>
      <c r="C36" s="2"/>
      <c r="D36" s="2"/>
      <c r="E36" s="8" t="s">
        <v>7</v>
      </c>
      <c r="F36" s="9">
        <v>-34.5</v>
      </c>
      <c r="G36" s="10">
        <f>$F$36/(1+$C$30)^G$28</f>
        <v>-31.797235023041477</v>
      </c>
      <c r="H36" s="10">
        <f>$F$36/(1+$C$30)^H$28</f>
        <v>-29.306207394508274</v>
      </c>
      <c r="I36" s="10">
        <f>$F$36/(1+$C$30)^I$28</f>
        <v>-27.010329395860158</v>
      </c>
      <c r="J36" s="10">
        <f>$F$36/(1+$C$30)^J$28</f>
        <v>-24.89431280724439</v>
      </c>
      <c r="K36" s="11">
        <f>$F$36/(1+$C$30)^K$28</f>
        <v>-22.944067103451051</v>
      </c>
      <c r="L36" s="2"/>
    </row>
    <row r="37" spans="1:12" x14ac:dyDescent="0.25">
      <c r="A37" s="30"/>
      <c r="B37" s="30"/>
      <c r="C37" s="30"/>
      <c r="D37" s="30"/>
      <c r="E37" s="30" t="s">
        <v>11</v>
      </c>
      <c r="F37" s="30"/>
      <c r="G37" s="31">
        <f>G35+G36</f>
        <v>48.202764976958505</v>
      </c>
      <c r="H37" s="31">
        <f>H35+H36</f>
        <v>51.826116502792573</v>
      </c>
      <c r="I37" s="31">
        <f>I35+I36</f>
        <v>55.13466655405837</v>
      </c>
      <c r="J37" s="31">
        <f>J35+J36</f>
        <v>58.267345230493476</v>
      </c>
      <c r="K37" s="31">
        <f>K35+K36</f>
        <v>61.126774532464452</v>
      </c>
      <c r="L37" s="30"/>
    </row>
    <row r="38" spans="1:12" x14ac:dyDescent="0.25">
      <c r="A38" s="32"/>
      <c r="B38" s="32"/>
      <c r="C38" s="32"/>
      <c r="D38" s="32"/>
      <c r="E38" s="33" t="s">
        <v>8</v>
      </c>
      <c r="F38" s="32"/>
      <c r="G38" s="34">
        <f>G37/$C$32</f>
        <v>96.213103746424167</v>
      </c>
      <c r="H38" s="34">
        <f>H37/$C$32</f>
        <v>103.44534232094325</v>
      </c>
      <c r="I38" s="34">
        <f>I37/$C$32</f>
        <v>110.04923463883907</v>
      </c>
      <c r="J38" s="34">
        <f>J37/$C$32</f>
        <v>116.30208628841014</v>
      </c>
      <c r="K38" s="34">
        <f>K37/$C$32</f>
        <v>122.00953000491907</v>
      </c>
      <c r="L38" s="3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16"/>
      <c r="B40" s="16" t="s">
        <v>61</v>
      </c>
      <c r="C40" s="16">
        <v>68</v>
      </c>
      <c r="D40" s="16"/>
      <c r="E40" s="16"/>
      <c r="F40" s="16"/>
      <c r="G40" s="16"/>
      <c r="H40" s="16"/>
      <c r="I40" s="16"/>
      <c r="J40" s="16"/>
      <c r="K40" s="16"/>
      <c r="L40" s="16"/>
    </row>
    <row r="41" spans="1:12" x14ac:dyDescent="0.25">
      <c r="A41" s="2"/>
      <c r="B41" s="2" t="s">
        <v>62</v>
      </c>
      <c r="C41" s="2">
        <f>IFERROR(G25/C40-1,"")</f>
        <v>-2.1115890184014052E-2</v>
      </c>
      <c r="D41" s="2"/>
      <c r="E41" s="2"/>
      <c r="F41" s="2"/>
      <c r="G41" s="2"/>
      <c r="H41" s="2"/>
      <c r="I41" s="2"/>
      <c r="J41" s="2"/>
      <c r="K41" s="2"/>
      <c r="L41" s="2"/>
    </row>
  </sheetData>
  <pageMargins left="0.7" right="0.7" top="0.75" bottom="0.75" header="0.3" footer="0.3"/>
  <pageSetup paperSize="9" orientation="portrait" verticalDpi="0" r:id="rId1"/>
  <headerFooter>
    <oddHeader>&amp;L&amp;"Arial"&amp;8&amp;K000000 INTERNAL&amp;1#_x000D_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974C-CEBE-447A-9D8E-020DCB77D1FC}">
  <sheetPr>
    <tabColor rgb="FF5B9BD5"/>
  </sheetPr>
  <dimension ref="A1:S47"/>
  <sheetViews>
    <sheetView showGridLines="0" topLeftCell="A24" zoomScale="85" zoomScaleNormal="85" workbookViewId="0">
      <selection activeCell="Q8" sqref="Q8:R27"/>
    </sheetView>
  </sheetViews>
  <sheetFormatPr defaultRowHeight="15" x14ac:dyDescent="0.25"/>
  <cols>
    <col min="5" max="5" width="23.85546875" customWidth="1"/>
  </cols>
  <sheetData>
    <row r="1" spans="1:1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13"/>
      <c r="B2" s="13" t="s">
        <v>16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5.75" thickBot="1" x14ac:dyDescent="0.3">
      <c r="A4" s="13"/>
      <c r="B4" s="64" t="s">
        <v>63</v>
      </c>
      <c r="C4" s="65"/>
      <c r="D4" s="13"/>
      <c r="E4" s="66" t="s">
        <v>14</v>
      </c>
      <c r="F4" s="67"/>
      <c r="G4" s="67">
        <v>1</v>
      </c>
      <c r="H4" s="67">
        <v>2</v>
      </c>
      <c r="I4" s="67">
        <v>3</v>
      </c>
      <c r="J4" s="67">
        <v>4</v>
      </c>
      <c r="K4" s="68">
        <v>5</v>
      </c>
      <c r="L4" s="13"/>
      <c r="M4" s="13"/>
      <c r="N4" s="13"/>
      <c r="O4" s="13"/>
      <c r="P4" s="13"/>
      <c r="Q4" s="13"/>
      <c r="R4" s="13"/>
      <c r="S4" s="13"/>
    </row>
    <row r="5" spans="1:19" ht="15.75" thickBot="1" x14ac:dyDescent="0.3">
      <c r="A5" s="15"/>
      <c r="B5" s="72"/>
      <c r="C5" s="73"/>
      <c r="D5" s="15"/>
      <c r="E5" s="69"/>
      <c r="F5" s="70" t="s">
        <v>0</v>
      </c>
      <c r="G5" s="70">
        <v>2026</v>
      </c>
      <c r="H5" s="70">
        <v>2027</v>
      </c>
      <c r="I5" s="70">
        <v>2028</v>
      </c>
      <c r="J5" s="70">
        <v>2029</v>
      </c>
      <c r="K5" s="71">
        <v>2030</v>
      </c>
      <c r="L5" s="15"/>
      <c r="M5" s="15"/>
      <c r="N5" s="15"/>
      <c r="O5" s="15"/>
      <c r="P5" s="15"/>
      <c r="Q5" s="15"/>
      <c r="R5" s="15"/>
      <c r="S5" s="15"/>
    </row>
    <row r="6" spans="1:19" x14ac:dyDescent="0.25">
      <c r="A6" s="16"/>
      <c r="B6" s="23" t="s">
        <v>2</v>
      </c>
      <c r="C6" s="24">
        <v>8.5000000000000006E-2</v>
      </c>
      <c r="D6" s="16"/>
      <c r="E6" s="23"/>
      <c r="F6" s="16"/>
      <c r="G6" s="16"/>
      <c r="H6" s="16"/>
      <c r="I6" s="16"/>
      <c r="J6" s="16"/>
      <c r="K6" s="24"/>
      <c r="L6" s="16"/>
      <c r="M6" s="16"/>
      <c r="N6" s="16"/>
      <c r="O6" s="16"/>
      <c r="P6" s="16"/>
      <c r="Q6" s="16"/>
      <c r="R6" s="16"/>
      <c r="S6" s="16"/>
    </row>
    <row r="7" spans="1:19" x14ac:dyDescent="0.25">
      <c r="A7" s="16"/>
      <c r="B7" s="23" t="s">
        <v>4</v>
      </c>
      <c r="C7" s="24">
        <v>0.01</v>
      </c>
      <c r="D7" s="16"/>
      <c r="E7" s="17" t="s">
        <v>1</v>
      </c>
      <c r="F7" s="18">
        <v>1.9</v>
      </c>
      <c r="G7" s="18">
        <v>1.94</v>
      </c>
      <c r="H7" s="18">
        <v>1.98</v>
      </c>
      <c r="I7" s="18">
        <v>2.02</v>
      </c>
      <c r="J7" s="18">
        <v>2.06</v>
      </c>
      <c r="K7" s="19">
        <v>2.1</v>
      </c>
      <c r="L7" s="16"/>
      <c r="M7" s="16"/>
      <c r="N7" s="16"/>
      <c r="O7" s="16"/>
      <c r="P7" s="16"/>
      <c r="Q7" s="16"/>
      <c r="R7" s="16"/>
      <c r="S7" s="16"/>
    </row>
    <row r="8" spans="1:19" x14ac:dyDescent="0.25">
      <c r="A8" s="16"/>
      <c r="B8" s="74" t="s">
        <v>9</v>
      </c>
      <c r="C8" s="75">
        <v>0.501</v>
      </c>
      <c r="D8" s="16"/>
      <c r="E8" s="17" t="s">
        <v>3</v>
      </c>
      <c r="F8" s="22" t="s">
        <v>5</v>
      </c>
      <c r="G8" s="18">
        <f>G7/(1+$C$6)^G4</f>
        <v>1.7880184331797235</v>
      </c>
      <c r="H8" s="18">
        <f>H7/(1+$C$6)^H4</f>
        <v>1.6819214678587355</v>
      </c>
      <c r="I8" s="18">
        <f>I7/(1+$C$6)^I4</f>
        <v>1.581474358830073</v>
      </c>
      <c r="J8" s="18">
        <f>J7/(1+$C$6)^J4</f>
        <v>1.4864430255919838</v>
      </c>
      <c r="K8" s="19">
        <f>K7/(1+$C$6)^K4</f>
        <v>1.3965953889057161</v>
      </c>
      <c r="L8" s="16"/>
      <c r="M8" s="16"/>
      <c r="N8" s="16"/>
      <c r="O8" s="16"/>
      <c r="P8" s="16"/>
      <c r="Q8" s="16"/>
      <c r="R8" s="16"/>
      <c r="S8" s="16"/>
    </row>
    <row r="9" spans="1:19" x14ac:dyDescent="0.25">
      <c r="A9" s="2"/>
      <c r="B9" s="2"/>
      <c r="C9" s="2"/>
      <c r="D9" s="2"/>
      <c r="E9" s="3" t="s">
        <v>15</v>
      </c>
      <c r="F9" s="4"/>
      <c r="G9" s="4">
        <f>SUM(D8:G8)</f>
        <v>1.7880184331797235</v>
      </c>
      <c r="H9" s="4">
        <f>SUM(D8:H8)</f>
        <v>3.4699399010384591</v>
      </c>
      <c r="I9" s="4">
        <f>SUM(E8:I8)</f>
        <v>5.0514142598685323</v>
      </c>
      <c r="J9" s="4">
        <f>SUM(F8:J8)</f>
        <v>6.5378572854605164</v>
      </c>
      <c r="K9" s="5">
        <f>SUM(G8:K8)</f>
        <v>7.9344526743662325</v>
      </c>
      <c r="L9" s="2"/>
      <c r="M9" s="2"/>
      <c r="N9" s="2"/>
      <c r="O9" s="2"/>
      <c r="P9" s="2"/>
      <c r="Q9" s="2"/>
      <c r="R9" s="2"/>
      <c r="S9" s="2"/>
    </row>
    <row r="10" spans="1:19" x14ac:dyDescent="0.25">
      <c r="A10" s="2"/>
      <c r="B10" s="2"/>
      <c r="C10" s="2"/>
      <c r="D10" s="2"/>
      <c r="E10" s="8" t="s">
        <v>10</v>
      </c>
      <c r="F10" s="63" t="s">
        <v>5</v>
      </c>
      <c r="G10" s="10">
        <f>(G7*(1+$C$7)/($C$6-$C$7))/((1+$C$6)^G4)</f>
        <v>24.078648233486941</v>
      </c>
      <c r="H10" s="10">
        <f>(H7*(1+$C$7)/($C$6-$C$7))/(1+$C$6)^H4</f>
        <v>22.649875767164303</v>
      </c>
      <c r="I10" s="10">
        <f>(I7*(1+$C$7)/($C$6-$C$7))/(1+$C$6)^I4</f>
        <v>21.297188032244978</v>
      </c>
      <c r="J10" s="10">
        <f>(J7*(1+$C$7)/($C$6-$C$7))/(1+$C$6)^J4</f>
        <v>20.017432744638711</v>
      </c>
      <c r="K10" s="11">
        <f>((K7*(1+$C$7))/($C$6-$C$7))/(1+$C$6)^K4</f>
        <v>18.807484570596973</v>
      </c>
      <c r="L10" s="2"/>
      <c r="M10" s="2"/>
      <c r="N10" s="2"/>
      <c r="O10" s="2"/>
      <c r="P10" s="2"/>
      <c r="Q10" s="2"/>
      <c r="R10" s="2"/>
      <c r="S10" s="2"/>
    </row>
    <row r="11" spans="1:19" x14ac:dyDescent="0.25">
      <c r="A11" s="25"/>
      <c r="B11" s="25"/>
      <c r="C11" s="25"/>
      <c r="D11" s="25"/>
      <c r="E11" s="25" t="s">
        <v>6</v>
      </c>
      <c r="F11" s="27" t="s">
        <v>5</v>
      </c>
      <c r="G11" s="28">
        <f>G9+G10</f>
        <v>25.866666666666664</v>
      </c>
      <c r="H11" s="28">
        <f>H9+H10</f>
        <v>26.119815668202762</v>
      </c>
      <c r="I11" s="28">
        <f>I9+I10</f>
        <v>26.348602292113512</v>
      </c>
      <c r="J11" s="28">
        <f>J9+J10</f>
        <v>26.555290030099229</v>
      </c>
      <c r="K11" s="28">
        <f>K9+K10</f>
        <v>26.741937244963204</v>
      </c>
      <c r="L11" s="25"/>
      <c r="M11" s="25"/>
      <c r="N11" s="25"/>
      <c r="O11" s="25"/>
      <c r="P11" s="25"/>
      <c r="Q11" s="25"/>
      <c r="R11" s="25"/>
      <c r="S11" s="25"/>
    </row>
    <row r="12" spans="1:1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5">
      <c r="A14" s="13"/>
      <c r="B14" s="13" t="s">
        <v>17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.75" thickBot="1" x14ac:dyDescent="0.3">
      <c r="A16" s="13"/>
      <c r="B16" s="64" t="s">
        <v>64</v>
      </c>
      <c r="C16" s="65"/>
      <c r="D16" s="13"/>
      <c r="E16" s="66" t="s">
        <v>14</v>
      </c>
      <c r="F16" s="67"/>
      <c r="G16" s="67">
        <v>1</v>
      </c>
      <c r="H16" s="67">
        <v>2</v>
      </c>
      <c r="I16" s="67">
        <v>3</v>
      </c>
      <c r="J16" s="67">
        <v>4</v>
      </c>
      <c r="K16" s="68">
        <v>5</v>
      </c>
      <c r="L16" s="13"/>
      <c r="M16" s="13"/>
      <c r="N16" s="13"/>
      <c r="O16" s="13"/>
      <c r="P16" s="13"/>
      <c r="Q16" s="13"/>
      <c r="R16" s="13"/>
      <c r="S16" s="13"/>
    </row>
    <row r="17" spans="1:19" ht="15.75" thickBot="1" x14ac:dyDescent="0.3">
      <c r="A17" s="15"/>
      <c r="B17" s="72"/>
      <c r="C17" s="73"/>
      <c r="D17" s="15"/>
      <c r="E17" s="69"/>
      <c r="F17" s="70" t="s">
        <v>0</v>
      </c>
      <c r="G17" s="70">
        <v>2026</v>
      </c>
      <c r="H17" s="70">
        <v>2027</v>
      </c>
      <c r="I17" s="70">
        <v>2028</v>
      </c>
      <c r="J17" s="70">
        <v>2029</v>
      </c>
      <c r="K17" s="71">
        <v>2030</v>
      </c>
      <c r="L17" s="15"/>
      <c r="M17" s="15"/>
      <c r="N17" s="15"/>
      <c r="O17" s="15"/>
      <c r="P17" s="15"/>
      <c r="Q17" s="15"/>
      <c r="R17" s="15"/>
      <c r="S17" s="15"/>
    </row>
    <row r="18" spans="1:19" x14ac:dyDescent="0.25">
      <c r="A18" s="16"/>
      <c r="B18" s="23" t="s">
        <v>2</v>
      </c>
      <c r="C18" s="24">
        <v>0.115</v>
      </c>
      <c r="D18" s="16"/>
      <c r="E18" s="23"/>
      <c r="F18" s="16"/>
      <c r="G18" s="16"/>
      <c r="H18" s="16"/>
      <c r="I18" s="16"/>
      <c r="J18" s="16"/>
      <c r="K18" s="24"/>
      <c r="L18" s="16"/>
      <c r="M18" s="16"/>
      <c r="N18" s="16"/>
      <c r="O18" s="16"/>
      <c r="P18" s="16"/>
      <c r="Q18" s="16"/>
      <c r="R18" s="16"/>
      <c r="S18" s="16"/>
    </row>
    <row r="19" spans="1:19" x14ac:dyDescent="0.25">
      <c r="A19" s="16"/>
      <c r="B19" s="23" t="s">
        <v>4</v>
      </c>
      <c r="C19" s="24">
        <v>0</v>
      </c>
      <c r="D19" s="16"/>
      <c r="E19" s="17" t="s">
        <v>1</v>
      </c>
      <c r="F19" s="18">
        <v>0.75</v>
      </c>
      <c r="G19" s="18">
        <v>0.76</v>
      </c>
      <c r="H19" s="18">
        <v>0.77</v>
      </c>
      <c r="I19" s="18">
        <v>0.78</v>
      </c>
      <c r="J19" s="18">
        <v>0.79</v>
      </c>
      <c r="K19" s="19">
        <v>0.8</v>
      </c>
      <c r="L19" s="16"/>
      <c r="M19" s="16"/>
      <c r="N19" s="16"/>
      <c r="O19" s="16"/>
      <c r="P19" s="16"/>
      <c r="Q19" s="16"/>
      <c r="R19" s="16"/>
      <c r="S19" s="16"/>
    </row>
    <row r="20" spans="1:19" x14ac:dyDescent="0.25">
      <c r="A20" s="16"/>
      <c r="B20" s="74" t="s">
        <v>9</v>
      </c>
      <c r="C20" s="75">
        <v>0.501</v>
      </c>
      <c r="D20" s="16"/>
      <c r="E20" s="17" t="s">
        <v>3</v>
      </c>
      <c r="F20" s="22" t="s">
        <v>5</v>
      </c>
      <c r="G20" s="18">
        <f>G19/(1+$C$18)^G$16</f>
        <v>0.68161434977578472</v>
      </c>
      <c r="H20" s="18">
        <f>H19/(1+$C$18)^H$16</f>
        <v>0.61935691447646246</v>
      </c>
      <c r="I20" s="18">
        <f>I19/(1+$C$18)^I$16</f>
        <v>0.56269104104786061</v>
      </c>
      <c r="J20" s="18">
        <f>J19/(1+$C$18)^J$16</f>
        <v>0.51112558632610072</v>
      </c>
      <c r="K20" s="19">
        <f>K19/(1+$C$18)^K$16</f>
        <v>0.4642112380778573</v>
      </c>
      <c r="L20" s="16"/>
      <c r="M20" s="16"/>
      <c r="N20" s="16"/>
      <c r="O20" s="16"/>
      <c r="P20" s="16"/>
      <c r="Q20" s="16"/>
      <c r="R20" s="16"/>
      <c r="S20" s="16"/>
    </row>
    <row r="21" spans="1:19" x14ac:dyDescent="0.25">
      <c r="A21" s="2"/>
      <c r="B21" s="2"/>
      <c r="C21" s="2"/>
      <c r="D21" s="2"/>
      <c r="E21" s="3" t="s">
        <v>15</v>
      </c>
      <c r="F21" s="4"/>
      <c r="G21" s="4">
        <f>SUM(D20:G20)</f>
        <v>0.68161434977578472</v>
      </c>
      <c r="H21" s="4">
        <f>SUM(D20:H20)</f>
        <v>1.3009712642522473</v>
      </c>
      <c r="I21" s="4">
        <f>SUM(E20:I20)</f>
        <v>1.863662305300108</v>
      </c>
      <c r="J21" s="4">
        <f>SUM(F20:J20)</f>
        <v>2.3747878916262088</v>
      </c>
      <c r="K21" s="5">
        <f>SUM(G20:K20)</f>
        <v>2.838999129704066</v>
      </c>
      <c r="L21" s="2"/>
      <c r="M21" s="2"/>
      <c r="N21" s="2"/>
      <c r="O21" s="2"/>
      <c r="P21" s="2"/>
      <c r="Q21" s="2"/>
      <c r="R21" s="2"/>
      <c r="S21" s="2"/>
    </row>
    <row r="22" spans="1:19" x14ac:dyDescent="0.25">
      <c r="A22" s="2"/>
      <c r="B22" s="2"/>
      <c r="C22" s="2"/>
      <c r="D22" s="2"/>
      <c r="E22" s="8" t="s">
        <v>10</v>
      </c>
      <c r="F22" s="63" t="s">
        <v>5</v>
      </c>
      <c r="G22" s="10">
        <f>(G19*(1+$C$19)/($C$18-$C$19))/(1+$C$18)^G$16</f>
        <v>5.9270813023981281</v>
      </c>
      <c r="H22" s="10">
        <f>(H19*(1+$C$19)/($C$18-$C$19))/(1+$C$18)^H$16</f>
        <v>5.3857122997953253</v>
      </c>
      <c r="I22" s="10">
        <f>(I19*(1+$C$19)/($C$18-$C$19))/(1+$C$18)^I$16</f>
        <v>4.8929655743292217</v>
      </c>
      <c r="J22" s="10">
        <f>(J19*(1+$C$19)/($C$18-$C$19))/(1+$C$18)^J$16</f>
        <v>4.4445703158791368</v>
      </c>
      <c r="K22" s="11">
        <f>(K19*(1+$C$19)/($C$18-$C$19))/(1+$C$18)^K$16</f>
        <v>4.0366194615465849</v>
      </c>
      <c r="L22" s="2"/>
      <c r="M22" s="2"/>
      <c r="N22" s="2"/>
      <c r="O22" s="2"/>
      <c r="P22" s="2"/>
      <c r="Q22" s="2"/>
      <c r="R22" s="2"/>
      <c r="S22" s="2"/>
    </row>
    <row r="23" spans="1:19" x14ac:dyDescent="0.25">
      <c r="A23" s="25"/>
      <c r="B23" s="25"/>
      <c r="C23" s="25"/>
      <c r="D23" s="25"/>
      <c r="E23" s="25" t="s">
        <v>6</v>
      </c>
      <c r="F23" s="27" t="s">
        <v>5</v>
      </c>
      <c r="G23" s="28">
        <f>G21+G22</f>
        <v>6.6086956521739131</v>
      </c>
      <c r="H23" s="28">
        <f>H21+H22</f>
        <v>6.6866835640475726</v>
      </c>
      <c r="I23" s="28">
        <f>I21+I22</f>
        <v>6.7566278796293293</v>
      </c>
      <c r="J23" s="28">
        <f>J21+J22</f>
        <v>6.8193582075053456</v>
      </c>
      <c r="K23" s="28">
        <f>K21+K22</f>
        <v>6.8756185912506513</v>
      </c>
      <c r="L23" s="25"/>
      <c r="M23" s="25"/>
      <c r="N23" s="25"/>
      <c r="O23" s="25"/>
      <c r="P23" s="25"/>
      <c r="Q23" s="25"/>
      <c r="R23" s="25"/>
      <c r="S23" s="25"/>
    </row>
    <row r="24" spans="1: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5">
      <c r="A25" s="13"/>
      <c r="B25" s="13" t="s">
        <v>18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thickBot="1" x14ac:dyDescent="0.3">
      <c r="A27" s="13"/>
      <c r="B27" s="64" t="s">
        <v>65</v>
      </c>
      <c r="C27" s="65"/>
      <c r="D27" s="13"/>
      <c r="E27" s="66" t="s">
        <v>14</v>
      </c>
      <c r="F27" s="67"/>
      <c r="G27" s="67">
        <v>1</v>
      </c>
      <c r="H27" s="67">
        <v>2</v>
      </c>
      <c r="I27" s="67">
        <v>3</v>
      </c>
      <c r="J27" s="67">
        <v>4</v>
      </c>
      <c r="K27" s="68">
        <v>5</v>
      </c>
      <c r="L27" s="13"/>
      <c r="M27" s="13"/>
      <c r="N27" s="13"/>
      <c r="O27" s="13"/>
      <c r="P27" s="13"/>
      <c r="Q27" s="13"/>
      <c r="R27" s="13"/>
      <c r="S27" s="13"/>
    </row>
    <row r="28" spans="1:19" ht="15.75" thickBot="1" x14ac:dyDescent="0.3">
      <c r="A28" s="15"/>
      <c r="B28" s="72"/>
      <c r="C28" s="73"/>
      <c r="D28" s="15"/>
      <c r="E28" s="69"/>
      <c r="F28" s="70" t="s">
        <v>0</v>
      </c>
      <c r="G28" s="70">
        <v>2026</v>
      </c>
      <c r="H28" s="70">
        <v>2027</v>
      </c>
      <c r="I28" s="70">
        <v>2028</v>
      </c>
      <c r="J28" s="70">
        <v>2029</v>
      </c>
      <c r="K28" s="71">
        <v>2030</v>
      </c>
      <c r="L28" s="15"/>
      <c r="M28" s="15"/>
      <c r="N28" s="15"/>
      <c r="O28" s="15"/>
      <c r="P28" s="15"/>
      <c r="Q28" s="15"/>
      <c r="R28" s="15"/>
      <c r="S28" s="15"/>
    </row>
    <row r="29" spans="1:19" x14ac:dyDescent="0.25">
      <c r="A29" s="16"/>
      <c r="B29" s="23" t="s">
        <v>2</v>
      </c>
      <c r="C29" s="24">
        <v>0.09</v>
      </c>
      <c r="D29" s="16"/>
      <c r="E29" s="23"/>
      <c r="F29" s="16"/>
      <c r="G29" s="16"/>
      <c r="H29" s="16"/>
      <c r="I29" s="16"/>
      <c r="J29" s="16"/>
      <c r="K29" s="24"/>
      <c r="L29" s="16"/>
      <c r="M29" s="16"/>
      <c r="N29" s="16"/>
      <c r="O29" s="16"/>
      <c r="P29" s="16"/>
      <c r="Q29" s="16"/>
      <c r="R29" s="16"/>
      <c r="S29" s="16"/>
    </row>
    <row r="30" spans="1:19" x14ac:dyDescent="0.25">
      <c r="A30" s="16"/>
      <c r="B30" s="23" t="s">
        <v>4</v>
      </c>
      <c r="C30" s="24">
        <v>1.4999999999999999E-2</v>
      </c>
      <c r="D30" s="16"/>
      <c r="E30" s="17" t="s">
        <v>1</v>
      </c>
      <c r="F30" s="18">
        <v>1.35</v>
      </c>
      <c r="G30" s="18">
        <v>1.39</v>
      </c>
      <c r="H30" s="18">
        <v>1.43</v>
      </c>
      <c r="I30" s="18">
        <v>1.47</v>
      </c>
      <c r="J30" s="18">
        <v>1.51</v>
      </c>
      <c r="K30" s="19">
        <v>1.56</v>
      </c>
      <c r="L30" s="16"/>
      <c r="M30" s="16"/>
      <c r="N30" s="16"/>
      <c r="O30" s="16"/>
      <c r="P30" s="16"/>
      <c r="Q30" s="16"/>
      <c r="R30" s="16"/>
      <c r="S30" s="16"/>
    </row>
    <row r="31" spans="1:19" x14ac:dyDescent="0.25">
      <c r="A31" s="16"/>
      <c r="B31" s="74" t="s">
        <v>9</v>
      </c>
      <c r="C31" s="75">
        <v>0.501</v>
      </c>
      <c r="D31" s="16"/>
      <c r="E31" s="17" t="s">
        <v>3</v>
      </c>
      <c r="F31" s="22" t="s">
        <v>5</v>
      </c>
      <c r="G31" s="18">
        <f>G30/(1+$C$29)^G$27</f>
        <v>1.275229357798165</v>
      </c>
      <c r="H31" s="18">
        <f>H30/(1+$C$29)^H$27</f>
        <v>1.2036023903711808</v>
      </c>
      <c r="I31" s="18">
        <f>I30/(1+$C$29)^I$27</f>
        <v>1.1351097156897643</v>
      </c>
      <c r="J31" s="18">
        <f>J30/(1+$C$29)^J$27</f>
        <v>1.0697220687084465</v>
      </c>
      <c r="K31" s="19">
        <f>K30/(1+$C$29)^K$27</f>
        <v>1.0138929626254187</v>
      </c>
      <c r="L31" s="16"/>
      <c r="M31" s="16"/>
      <c r="N31" s="16"/>
      <c r="O31" s="16"/>
      <c r="P31" s="16"/>
      <c r="Q31" s="16"/>
      <c r="R31" s="16"/>
      <c r="S31" s="16"/>
    </row>
    <row r="32" spans="1:19" x14ac:dyDescent="0.25">
      <c r="A32" s="2"/>
      <c r="B32" s="2"/>
      <c r="C32" s="2"/>
      <c r="D32" s="2"/>
      <c r="E32" s="3" t="s">
        <v>15</v>
      </c>
      <c r="F32" s="4"/>
      <c r="G32" s="4">
        <f>SUM(D31:G31)</f>
        <v>1.275229357798165</v>
      </c>
      <c r="H32" s="4">
        <f>SUM(D31:H31)</f>
        <v>2.4788317481693456</v>
      </c>
      <c r="I32" s="4">
        <f>SUM(E31:I31)</f>
        <v>3.6139414638591099</v>
      </c>
      <c r="J32" s="4">
        <f>SUM(F31:J31)</f>
        <v>4.6836635325675564</v>
      </c>
      <c r="K32" s="5">
        <f>SUM(G31:K31)</f>
        <v>5.6975564951929751</v>
      </c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8" t="s">
        <v>10</v>
      </c>
      <c r="F33" s="63" t="s">
        <v>5</v>
      </c>
      <c r="G33" s="10">
        <f>(G30*(1+$C$30)/($C$29-$C$30))/(1+$C$29)^G$27</f>
        <v>17.258103975535164</v>
      </c>
      <c r="H33" s="10">
        <f>(H30*(1+$C$30)/($C$29-$C$30))/(1+$C$29)^H$27</f>
        <v>16.288752349689979</v>
      </c>
      <c r="I33" s="10">
        <f>(I30*(1+$C$30)/($C$29-$C$30))/(1+$C$29)^I$27</f>
        <v>15.361818152334809</v>
      </c>
      <c r="J33" s="10">
        <f>(J30*(1+$C$30)/($C$29-$C$30))/(1+$C$29)^J$27</f>
        <v>14.476905329854311</v>
      </c>
      <c r="K33" s="11">
        <f>(K30*(1+$C$30)/($C$29-$C$30))/(1+$C$29)^K$27</f>
        <v>13.721351427530664</v>
      </c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5"/>
      <c r="B34" s="25"/>
      <c r="C34" s="25"/>
      <c r="D34" s="25"/>
      <c r="E34" s="25" t="s">
        <v>6</v>
      </c>
      <c r="F34" s="27" t="s">
        <v>5</v>
      </c>
      <c r="G34" s="28">
        <f>G32+G33</f>
        <v>18.533333333333328</v>
      </c>
      <c r="H34" s="28">
        <f>H32+H33</f>
        <v>18.767584097859324</v>
      </c>
      <c r="I34" s="28">
        <f>I32+I33</f>
        <v>18.975759616193919</v>
      </c>
      <c r="J34" s="28">
        <f>J32+J33</f>
        <v>19.160568862421869</v>
      </c>
      <c r="K34" s="28">
        <f>K32+K33</f>
        <v>19.418907922723641</v>
      </c>
      <c r="L34" s="25"/>
      <c r="M34" s="25"/>
      <c r="N34" s="25"/>
      <c r="O34" s="25"/>
      <c r="P34" s="25"/>
      <c r="Q34" s="25"/>
      <c r="R34" s="25"/>
      <c r="S34" s="25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13"/>
      <c r="B37" s="13" t="s">
        <v>66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thickBot="1" x14ac:dyDescent="0.3">
      <c r="A39" s="13"/>
      <c r="B39" s="64" t="s">
        <v>67</v>
      </c>
      <c r="C39" s="65"/>
      <c r="D39" s="13"/>
      <c r="E39" s="66" t="s">
        <v>14</v>
      </c>
      <c r="F39" s="67"/>
      <c r="G39" s="67">
        <v>1</v>
      </c>
      <c r="H39" s="67">
        <v>2</v>
      </c>
      <c r="I39" s="67">
        <v>3</v>
      </c>
      <c r="J39" s="67">
        <v>4</v>
      </c>
      <c r="K39" s="68">
        <v>5</v>
      </c>
      <c r="L39" s="13"/>
      <c r="M39" s="13"/>
      <c r="N39" s="13"/>
      <c r="O39" s="13"/>
      <c r="P39" s="13"/>
      <c r="Q39" s="13"/>
      <c r="R39" s="13"/>
      <c r="S39" s="13"/>
    </row>
    <row r="40" spans="1:19" ht="15.75" thickBot="1" x14ac:dyDescent="0.3">
      <c r="A40" s="15"/>
      <c r="B40" s="72"/>
      <c r="C40" s="73"/>
      <c r="D40" s="15"/>
      <c r="E40" s="69"/>
      <c r="F40" s="70" t="s">
        <v>0</v>
      </c>
      <c r="G40" s="70">
        <v>2026</v>
      </c>
      <c r="H40" s="70">
        <v>2027</v>
      </c>
      <c r="I40" s="70">
        <v>2028</v>
      </c>
      <c r="J40" s="70">
        <v>2029</v>
      </c>
      <c r="K40" s="71">
        <v>2030</v>
      </c>
      <c r="L40" s="15"/>
      <c r="M40" s="15"/>
      <c r="N40" s="15"/>
      <c r="O40" s="15"/>
      <c r="P40" s="15"/>
      <c r="Q40" s="15"/>
      <c r="R40" s="15"/>
      <c r="S40" s="15"/>
    </row>
    <row r="41" spans="1:19" x14ac:dyDescent="0.25">
      <c r="A41" s="16"/>
      <c r="B41" s="23" t="s">
        <v>2</v>
      </c>
      <c r="C41" s="24">
        <v>0.1</v>
      </c>
      <c r="D41" s="16"/>
      <c r="E41" s="23"/>
      <c r="F41" s="16"/>
      <c r="G41" s="16"/>
      <c r="H41" s="16"/>
      <c r="I41" s="16"/>
      <c r="J41" s="16"/>
      <c r="K41" s="24"/>
      <c r="L41" s="16"/>
      <c r="M41" s="16"/>
      <c r="N41" s="16"/>
      <c r="O41" s="16"/>
      <c r="P41" s="16"/>
      <c r="Q41" s="16"/>
      <c r="R41" s="16"/>
      <c r="S41" s="16"/>
    </row>
    <row r="42" spans="1:19" x14ac:dyDescent="0.25">
      <c r="A42" s="16"/>
      <c r="B42" s="23" t="s">
        <v>4</v>
      </c>
      <c r="C42" s="24">
        <v>0.01</v>
      </c>
      <c r="D42" s="16"/>
      <c r="E42" s="17" t="s">
        <v>1</v>
      </c>
      <c r="F42" s="18">
        <v>0.65</v>
      </c>
      <c r="G42" s="18">
        <v>0.66</v>
      </c>
      <c r="H42" s="18">
        <v>0.67</v>
      </c>
      <c r="I42" s="18">
        <v>0.68</v>
      </c>
      <c r="J42" s="18">
        <v>0.69</v>
      </c>
      <c r="K42" s="19">
        <v>0.7</v>
      </c>
      <c r="L42" s="16"/>
      <c r="M42" s="16"/>
      <c r="N42" s="16"/>
      <c r="O42" s="16"/>
      <c r="P42" s="16"/>
      <c r="Q42" s="16"/>
      <c r="R42" s="16"/>
      <c r="S42" s="16"/>
    </row>
    <row r="43" spans="1:19" x14ac:dyDescent="0.25">
      <c r="A43" s="16"/>
      <c r="B43" s="74" t="s">
        <v>9</v>
      </c>
      <c r="C43" s="75">
        <v>0.501</v>
      </c>
      <c r="D43" s="16"/>
      <c r="E43" s="17" t="s">
        <v>3</v>
      </c>
      <c r="F43" s="22" t="s">
        <v>5</v>
      </c>
      <c r="G43" s="18">
        <f>G42/(1+$C$41)^G$39</f>
        <v>0.6</v>
      </c>
      <c r="H43" s="18">
        <f>H42/(1+$C$41)^H$39</f>
        <v>0.55371900826446274</v>
      </c>
      <c r="I43" s="18">
        <f>I42/(1+$C$41)^I$39</f>
        <v>0.51089406461307274</v>
      </c>
      <c r="J43" s="18">
        <f>J42/(1+$C$41)^J$39</f>
        <v>0.47127928420189863</v>
      </c>
      <c r="K43" s="19">
        <f>K42/(1+$C$41)^K$39</f>
        <v>0.43464492614140843</v>
      </c>
      <c r="L43" s="16"/>
      <c r="M43" s="16"/>
      <c r="N43" s="16"/>
      <c r="O43" s="16"/>
      <c r="P43" s="16"/>
      <c r="Q43" s="16"/>
      <c r="R43" s="16"/>
      <c r="S43" s="16"/>
    </row>
    <row r="44" spans="1:19" x14ac:dyDescent="0.25">
      <c r="A44" s="2"/>
      <c r="B44" s="2"/>
      <c r="C44" s="2"/>
      <c r="D44" s="2"/>
      <c r="E44" s="3" t="s">
        <v>15</v>
      </c>
      <c r="F44" s="4"/>
      <c r="G44" s="4">
        <f>SUM(D43:G43)</f>
        <v>0.6</v>
      </c>
      <c r="H44" s="4">
        <f>SUM(D43:H43)</f>
        <v>1.1537190082644626</v>
      </c>
      <c r="I44" s="4">
        <f>SUM(E43:I43)</f>
        <v>1.6646130728775352</v>
      </c>
      <c r="J44" s="4">
        <f>SUM(F43:J43)</f>
        <v>2.1358923570794337</v>
      </c>
      <c r="K44" s="5">
        <f>SUM(G43:K43)</f>
        <v>2.5705372832208422</v>
      </c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8" t="s">
        <v>10</v>
      </c>
      <c r="F45" s="63" t="s">
        <v>5</v>
      </c>
      <c r="G45" s="10">
        <f>(G42*(1+$C$42)/($C$41-$C$42))/(1+$C$41)^G$39</f>
        <v>6.7333333333333325</v>
      </c>
      <c r="H45" s="10">
        <f>(H42*(1+$C$42)/($C$41-$C$42))/(1+$C$41)^H$39</f>
        <v>6.2139577594123043</v>
      </c>
      <c r="I45" s="10">
        <f>(I42*(1+$C$42)/($C$41-$C$42))/(1+$C$41)^I$39</f>
        <v>5.7333667251022602</v>
      </c>
      <c r="J45" s="10">
        <f>(J42*(1+$C$42)/($C$41-$C$42))/(1+$C$41)^J$39</f>
        <v>5.2888008560435287</v>
      </c>
      <c r="K45" s="11">
        <f>(K42*(1+$C$42)/($C$41-$C$42))/(1+$C$41)^K$39</f>
        <v>4.8776819489202499</v>
      </c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5"/>
      <c r="B46" s="25"/>
      <c r="C46" s="25"/>
      <c r="D46" s="25"/>
      <c r="E46" s="25" t="s">
        <v>6</v>
      </c>
      <c r="F46" s="27" t="s">
        <v>5</v>
      </c>
      <c r="G46" s="28">
        <f>G44+G45</f>
        <v>7.3333333333333321</v>
      </c>
      <c r="H46" s="28">
        <f>H44+H45</f>
        <v>7.3676767676767669</v>
      </c>
      <c r="I46" s="28">
        <f>I44+I45</f>
        <v>7.3979797979797954</v>
      </c>
      <c r="J46" s="28">
        <f>J44+J45</f>
        <v>7.4246932131229624</v>
      </c>
      <c r="K46" s="28">
        <f>K44+K45</f>
        <v>7.448219232141092</v>
      </c>
      <c r="L46" s="25"/>
      <c r="M46" s="25"/>
      <c r="N46" s="25"/>
      <c r="O46" s="25"/>
      <c r="P46" s="25"/>
      <c r="Q46" s="25"/>
      <c r="R46" s="25"/>
      <c r="S46" s="25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</sheetData>
  <pageMargins left="0.7" right="0.7" top="0.75" bottom="0.75" header="0.3" footer="0.3"/>
  <headerFooter>
    <oddHeader>&amp;L&amp;"Arial"&amp;8&amp;K000000 INTERNAL&amp;1#_x000D_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4D24B-A94E-4877-9869-6D74F6BD952E}">
  <dimension ref="A1:D13"/>
  <sheetViews>
    <sheetView showGridLines="0" workbookViewId="0">
      <selection activeCell="Z18" sqref="Z18"/>
    </sheetView>
  </sheetViews>
  <sheetFormatPr defaultRowHeight="15" x14ac:dyDescent="0.25"/>
  <cols>
    <col min="1" max="1" width="25.7109375" customWidth="1"/>
    <col min="2" max="3" width="19" customWidth="1"/>
    <col min="4" max="4" width="52.42578125" customWidth="1"/>
  </cols>
  <sheetData>
    <row r="1" spans="1:4" x14ac:dyDescent="0.25">
      <c r="A1" s="78" t="s">
        <v>68</v>
      </c>
      <c r="B1" s="78"/>
      <c r="C1" s="78"/>
      <c r="D1" s="78"/>
    </row>
    <row r="2" spans="1:4" x14ac:dyDescent="0.25">
      <c r="A2" s="2"/>
      <c r="B2" s="2"/>
      <c r="C2" s="2"/>
      <c r="D2" s="2"/>
    </row>
    <row r="3" spans="1:4" x14ac:dyDescent="0.25">
      <c r="A3" s="15" t="s">
        <v>69</v>
      </c>
      <c r="B3" s="15" t="s">
        <v>70</v>
      </c>
      <c r="C3" s="15"/>
      <c r="D3" s="15"/>
    </row>
    <row r="4" spans="1:4" x14ac:dyDescent="0.25">
      <c r="A4" s="16" t="s">
        <v>61</v>
      </c>
      <c r="B4" s="16">
        <v>68</v>
      </c>
      <c r="C4" s="16"/>
      <c r="D4" s="16"/>
    </row>
    <row r="5" spans="1:4" x14ac:dyDescent="0.25">
      <c r="A5" s="2"/>
      <c r="B5" s="2"/>
      <c r="C5" s="2"/>
      <c r="D5" s="2"/>
    </row>
    <row r="6" spans="1:4" x14ac:dyDescent="0.25">
      <c r="A6" s="15" t="s">
        <v>71</v>
      </c>
      <c r="B6" s="15" t="s">
        <v>72</v>
      </c>
      <c r="C6" s="15" t="s">
        <v>73</v>
      </c>
      <c r="D6" s="15" t="s">
        <v>74</v>
      </c>
    </row>
    <row r="7" spans="1:4" x14ac:dyDescent="0.25">
      <c r="A7" s="2" t="s">
        <v>38</v>
      </c>
      <c r="B7" s="2">
        <f>'SOTP Valuation'!D34</f>
        <v>67.858682634730542</v>
      </c>
      <c r="C7" s="2">
        <f>IFERROR(B7/$B$4-1,"")</f>
        <v>-2.07819654808028E-3</v>
      </c>
      <c r="D7" s="76" t="s">
        <v>79</v>
      </c>
    </row>
    <row r="8" spans="1:4" x14ac:dyDescent="0.25">
      <c r="A8" s="16" t="s">
        <v>75</v>
      </c>
      <c r="B8" s="18">
        <f>'DCF by Business'!G13</f>
        <v>67.736774158105803</v>
      </c>
      <c r="C8" s="16">
        <f>IFERROR(B8/$B$4-1,"")</f>
        <v>-3.8709682631499209E-3</v>
      </c>
      <c r="D8" s="79" t="s">
        <v>80</v>
      </c>
    </row>
    <row r="9" spans="1:4" x14ac:dyDescent="0.25">
      <c r="A9" s="16" t="s">
        <v>76</v>
      </c>
      <c r="B9" s="18">
        <f>'DCF Scenarios'!G12</f>
        <v>49.837837791342558</v>
      </c>
      <c r="C9" s="16">
        <f>IFERROR(B9/$B$4-1,"")</f>
        <v>-0.26709062071555056</v>
      </c>
      <c r="D9" s="79" t="s">
        <v>81</v>
      </c>
    </row>
    <row r="10" spans="1:4" x14ac:dyDescent="0.25">
      <c r="A10" s="80" t="s">
        <v>77</v>
      </c>
      <c r="B10" s="81">
        <f>'DCF Scenarios'!G25</f>
        <v>66.564119467487046</v>
      </c>
      <c r="C10" s="80">
        <f>IFERROR(B10/$B$4-1,"")</f>
        <v>-2.1115890184014052E-2</v>
      </c>
      <c r="D10" s="82" t="s">
        <v>82</v>
      </c>
    </row>
    <row r="11" spans="1:4" x14ac:dyDescent="0.25">
      <c r="A11" s="16" t="s">
        <v>78</v>
      </c>
      <c r="B11" s="18">
        <f>'DCF Scenarios'!G38</f>
        <v>96.213103746424167</v>
      </c>
      <c r="C11" s="16">
        <f>IFERROR(B11/$B$4-1,"")</f>
        <v>0.41489858450623784</v>
      </c>
      <c r="D11" s="79" t="s">
        <v>83</v>
      </c>
    </row>
    <row r="12" spans="1:4" x14ac:dyDescent="0.25">
      <c r="A12" s="2"/>
      <c r="B12" s="2"/>
      <c r="C12" s="2"/>
      <c r="D12" s="2"/>
    </row>
    <row r="13" spans="1:4" x14ac:dyDescent="0.25">
      <c r="A13" s="77" t="s">
        <v>84</v>
      </c>
      <c r="B13" s="77"/>
      <c r="C13" s="77"/>
      <c r="D13" s="77"/>
    </row>
  </sheetData>
  <mergeCells count="2">
    <mergeCell ref="A1:D1"/>
    <mergeCell ref="A13:D1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 &amp; References</vt:lpstr>
      <vt:lpstr>SOTP Valuation</vt:lpstr>
      <vt:lpstr>DCF by Business</vt:lpstr>
      <vt:lpstr>DCF Scenarios</vt:lpstr>
      <vt:lpstr>DCF by Region</vt:lpstr>
      <vt:lpstr>Update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Gayoso</dc:creator>
  <cp:lastModifiedBy>Carlos Gayoso</cp:lastModifiedBy>
  <dcterms:created xsi:type="dcterms:W3CDTF">2015-06-05T18:17:20Z</dcterms:created>
  <dcterms:modified xsi:type="dcterms:W3CDTF">2026-10-21T20:49:08Z</dcterms:modified>
</cp:coreProperties>
</file>